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boze\Documents\ZenabuPhD\CONFERENCES\ASTMH_2025\"/>
    </mc:Choice>
  </mc:AlternateContent>
  <xr:revisionPtr revIDLastSave="0" documentId="13_ncr:1_{4ADE948C-0895-4365-A268-C97F304669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enses  Page 1" sheetId="1" r:id="rId1"/>
    <sheet name="Expenses Page 2" sheetId="4" r:id="rId2"/>
    <sheet name="Example" sheetId="5" r:id="rId3"/>
    <sheet name="Codes" sheetId="2" state="hidden" r:id="rId4"/>
  </sheets>
  <definedNames>
    <definedName name="_xlnm.Print_Area" localSheetId="2">Example!$A$3:$I$68</definedName>
    <definedName name="_xlnm.Print_Area" localSheetId="0">'Expenses  Page 1'!$A$3:$I$68</definedName>
    <definedName name="_xlnm.Print_Area" localSheetId="1">'Expenses Page 2'!$A$1:$I$49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5" l="1"/>
  <c r="A61" i="5"/>
  <c r="A59" i="5"/>
  <c r="A58" i="5"/>
  <c r="A57" i="5"/>
  <c r="A56" i="5"/>
  <c r="A55" i="5"/>
  <c r="A54" i="5"/>
  <c r="A53" i="5"/>
  <c r="I49" i="5"/>
  <c r="G49" i="5"/>
  <c r="A49" i="5"/>
  <c r="H47" i="5"/>
  <c r="A47" i="5"/>
  <c r="A46" i="5"/>
  <c r="A45" i="5"/>
  <c r="A44" i="5"/>
  <c r="A43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K27" i="5"/>
  <c r="H27" i="5"/>
  <c r="G27" i="5"/>
  <c r="F27" i="5"/>
  <c r="E27" i="5"/>
  <c r="D27" i="5"/>
  <c r="C27" i="5"/>
  <c r="B27" i="5"/>
  <c r="A27" i="5"/>
  <c r="A26" i="5"/>
  <c r="H24" i="5"/>
  <c r="H34" i="5" s="1"/>
  <c r="I34" i="5" s="1"/>
  <c r="G24" i="5"/>
  <c r="F24" i="5"/>
  <c r="A23" i="5"/>
  <c r="I22" i="5"/>
  <c r="I21" i="5"/>
  <c r="C21" i="5"/>
  <c r="B21" i="5"/>
  <c r="A21" i="5"/>
  <c r="I20" i="5"/>
  <c r="B20" i="5"/>
  <c r="A20" i="5"/>
  <c r="I19" i="5"/>
  <c r="C19" i="5"/>
  <c r="B19" i="5"/>
  <c r="A19" i="5"/>
  <c r="I18" i="5"/>
  <c r="H18" i="5"/>
  <c r="G18" i="5"/>
  <c r="F18" i="5"/>
  <c r="E18" i="5"/>
  <c r="D18" i="5"/>
  <c r="C18" i="5"/>
  <c r="B18" i="5"/>
  <c r="A18" i="5"/>
  <c r="A17" i="5"/>
  <c r="E16" i="5"/>
  <c r="A16" i="5"/>
  <c r="F14" i="5"/>
  <c r="A14" i="5"/>
  <c r="F13" i="5"/>
  <c r="A13" i="5"/>
  <c r="F12" i="5"/>
  <c r="A12" i="5"/>
  <c r="A11" i="5"/>
  <c r="A10" i="5"/>
  <c r="A9" i="5"/>
  <c r="H8" i="5"/>
  <c r="A8" i="5"/>
  <c r="H7" i="5"/>
  <c r="A7" i="5"/>
  <c r="A6" i="5"/>
  <c r="A4" i="5"/>
  <c r="I23" i="5" l="1"/>
  <c r="H39" i="5"/>
  <c r="I39" i="5" s="1"/>
  <c r="H31" i="5"/>
  <c r="I31" i="5" s="1"/>
  <c r="H38" i="5"/>
  <c r="I38" i="5" s="1"/>
  <c r="H30" i="5"/>
  <c r="I30" i="5" s="1"/>
  <c r="I46" i="5"/>
  <c r="I24" i="5"/>
  <c r="I52" i="5" s="1"/>
  <c r="H29" i="5"/>
  <c r="I29" i="5" s="1"/>
  <c r="H37" i="5"/>
  <c r="I37" i="5" s="1"/>
  <c r="H32" i="5"/>
  <c r="I32" i="5" s="1"/>
  <c r="H40" i="5"/>
  <c r="I40" i="5" s="1"/>
  <c r="H35" i="5"/>
  <c r="I35" i="5" s="1"/>
  <c r="H33" i="5"/>
  <c r="I33" i="5" s="1"/>
  <c r="H41" i="5"/>
  <c r="I41" i="5" s="1"/>
  <c r="H28" i="5"/>
  <c r="I28" i="5" s="1"/>
  <c r="H36" i="5"/>
  <c r="I36" i="5" s="1"/>
  <c r="A4" i="1"/>
  <c r="I43" i="5" l="1"/>
  <c r="A56" i="1"/>
  <c r="A61" i="1"/>
  <c r="A63" i="1" l="1"/>
  <c r="A8" i="1"/>
  <c r="A7" i="1"/>
  <c r="H8" i="1" l="1"/>
  <c r="C6" i="4" l="1"/>
  <c r="D13" i="4" l="1"/>
  <c r="A2" i="4" l="1"/>
  <c r="G49" i="1"/>
  <c r="A59" i="1"/>
  <c r="A58" i="1"/>
  <c r="A57" i="1"/>
  <c r="A55" i="1"/>
  <c r="A54" i="1"/>
  <c r="A53" i="1"/>
  <c r="A49" i="1"/>
  <c r="A46" i="1" l="1"/>
  <c r="A47" i="1"/>
  <c r="A45" i="1"/>
  <c r="A44" i="1"/>
  <c r="A48" i="4" s="1"/>
  <c r="A43" i="1"/>
  <c r="E27" i="1"/>
  <c r="E12" i="4" s="1"/>
  <c r="K27" i="1"/>
  <c r="K12" i="4" s="1"/>
  <c r="H27" i="1"/>
  <c r="H12" i="4" s="1"/>
  <c r="G27" i="1"/>
  <c r="G12" i="4" s="1"/>
  <c r="F27" i="1"/>
  <c r="F12" i="4" s="1"/>
  <c r="D27" i="1"/>
  <c r="D12" i="4" s="1"/>
  <c r="C27" i="1"/>
  <c r="C12" i="4" s="1"/>
  <c r="B27" i="1"/>
  <c r="B12" i="4" s="1"/>
  <c r="A27" i="1"/>
  <c r="A12" i="4" s="1"/>
  <c r="A75" i="2"/>
  <c r="I27" i="1" s="1"/>
  <c r="I12" i="4" s="1"/>
  <c r="B75" i="2"/>
  <c r="I27" i="5" s="1"/>
  <c r="A26" i="1"/>
  <c r="A11" i="4" s="1"/>
  <c r="F24" i="1"/>
  <c r="G24" i="1"/>
  <c r="A23" i="1"/>
  <c r="A22" i="1"/>
  <c r="C21" i="1"/>
  <c r="C19" i="1"/>
  <c r="A21" i="1"/>
  <c r="A20" i="1"/>
  <c r="A19" i="1"/>
  <c r="B21" i="1"/>
  <c r="B20" i="1"/>
  <c r="B19" i="1"/>
  <c r="I18" i="1"/>
  <c r="H18" i="1"/>
  <c r="G18" i="1"/>
  <c r="F18" i="1"/>
  <c r="E18" i="1"/>
  <c r="D18" i="1"/>
  <c r="C18" i="1"/>
  <c r="B18" i="1"/>
  <c r="A18" i="1"/>
  <c r="A17" i="1"/>
  <c r="I22" i="1"/>
  <c r="I21" i="1"/>
  <c r="I20" i="1"/>
  <c r="I19" i="1"/>
  <c r="E16" i="1"/>
  <c r="A16" i="1"/>
  <c r="F14" i="1"/>
  <c r="F13" i="1"/>
  <c r="F12" i="1"/>
  <c r="F8" i="4" s="1"/>
  <c r="A1" i="4"/>
  <c r="A14" i="1"/>
  <c r="A13" i="1"/>
  <c r="A12" i="1"/>
  <c r="A8" i="4" s="1"/>
  <c r="A11" i="1"/>
  <c r="A7" i="4" s="1"/>
  <c r="A10" i="1"/>
  <c r="A9" i="1"/>
  <c r="A6" i="4"/>
  <c r="A5" i="4"/>
  <c r="A6" i="1"/>
  <c r="A4" i="4" s="1"/>
  <c r="H7" i="1"/>
  <c r="H5" i="4" s="1"/>
  <c r="H47" i="1"/>
  <c r="H24" i="1"/>
  <c r="H28" i="1" s="1"/>
  <c r="I23" i="1" l="1"/>
  <c r="I24" i="1" s="1"/>
  <c r="I52" i="1" s="1"/>
  <c r="H41" i="1"/>
  <c r="I41" i="1" s="1"/>
  <c r="H38" i="1"/>
  <c r="I38" i="1" s="1"/>
  <c r="H34" i="1"/>
  <c r="I34" i="1" s="1"/>
  <c r="H30" i="1"/>
  <c r="I30" i="1" s="1"/>
  <c r="H40" i="1"/>
  <c r="I40" i="1" s="1"/>
  <c r="H37" i="1"/>
  <c r="I37" i="1" s="1"/>
  <c r="H33" i="1"/>
  <c r="I33" i="1" s="1"/>
  <c r="H29" i="1"/>
  <c r="I29" i="1" s="1"/>
  <c r="H39" i="1"/>
  <c r="I39" i="1" s="1"/>
  <c r="H36" i="1"/>
  <c r="I36" i="1" s="1"/>
  <c r="H32" i="1"/>
  <c r="I32" i="1" s="1"/>
  <c r="I28" i="1"/>
  <c r="H35" i="1"/>
  <c r="I35" i="1" s="1"/>
  <c r="H31" i="1"/>
  <c r="I31" i="1" s="1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G8" i="4"/>
  <c r="C8" i="4"/>
  <c r="C7" i="4"/>
  <c r="C4" i="4"/>
  <c r="C5" i="4"/>
  <c r="D24" i="4"/>
  <c r="D23" i="4"/>
  <c r="D22" i="4"/>
  <c r="D21" i="4"/>
  <c r="D20" i="4"/>
  <c r="D19" i="4"/>
  <c r="D18" i="4"/>
  <c r="D17" i="4"/>
  <c r="D16" i="4"/>
  <c r="D15" i="4"/>
  <c r="D14" i="4"/>
  <c r="D28" i="1"/>
  <c r="I54" i="5" l="1"/>
  <c r="I63" i="5"/>
  <c r="I56" i="5"/>
  <c r="I58" i="5"/>
  <c r="I51" i="5"/>
  <c r="I50" i="5"/>
  <c r="I61" i="5"/>
  <c r="I66" i="5"/>
  <c r="I59" i="5"/>
  <c r="I57" i="5"/>
  <c r="I64" i="5"/>
  <c r="I62" i="5"/>
  <c r="I60" i="5"/>
  <c r="I67" i="5"/>
  <c r="I53" i="5"/>
  <c r="I65" i="5"/>
  <c r="I55" i="5"/>
  <c r="H45" i="4"/>
  <c r="I45" i="4" s="1"/>
  <c r="H37" i="4"/>
  <c r="I37" i="4" s="1"/>
  <c r="H29" i="4"/>
  <c r="I29" i="4" s="1"/>
  <c r="H21" i="4"/>
  <c r="I21" i="4" s="1"/>
  <c r="H43" i="4"/>
  <c r="I43" i="4" s="1"/>
  <c r="H27" i="4"/>
  <c r="I27" i="4" s="1"/>
  <c r="H19" i="4"/>
  <c r="I19" i="4" s="1"/>
  <c r="H44" i="4"/>
  <c r="I44" i="4" s="1"/>
  <c r="H36" i="4"/>
  <c r="I36" i="4" s="1"/>
  <c r="H28" i="4"/>
  <c r="I28" i="4" s="1"/>
  <c r="H20" i="4"/>
  <c r="I20" i="4" s="1"/>
  <c r="H13" i="4"/>
  <c r="I13" i="4" s="1"/>
  <c r="H35" i="4"/>
  <c r="I35" i="4" s="1"/>
  <c r="H40" i="4"/>
  <c r="I40" i="4" s="1"/>
  <c r="H32" i="4"/>
  <c r="I32" i="4" s="1"/>
  <c r="H24" i="4"/>
  <c r="I24" i="4" s="1"/>
  <c r="H16" i="4"/>
  <c r="I16" i="4" s="1"/>
  <c r="H47" i="4"/>
  <c r="I47" i="4" s="1"/>
  <c r="H39" i="4"/>
  <c r="I39" i="4" s="1"/>
  <c r="H31" i="4"/>
  <c r="I31" i="4" s="1"/>
  <c r="H23" i="4"/>
  <c r="I23" i="4" s="1"/>
  <c r="H15" i="4"/>
  <c r="I15" i="4" s="1"/>
  <c r="H46" i="4"/>
  <c r="I46" i="4" s="1"/>
  <c r="H38" i="4"/>
  <c r="I38" i="4" s="1"/>
  <c r="H30" i="4"/>
  <c r="I30" i="4" s="1"/>
  <c r="H22" i="4"/>
  <c r="I22" i="4" s="1"/>
  <c r="H14" i="4"/>
  <c r="I14" i="4" s="1"/>
  <c r="H42" i="4"/>
  <c r="I42" i="4" s="1"/>
  <c r="H34" i="4"/>
  <c r="I34" i="4" s="1"/>
  <c r="H26" i="4"/>
  <c r="I26" i="4" s="1"/>
  <c r="H18" i="4"/>
  <c r="I18" i="4" s="1"/>
  <c r="H41" i="4"/>
  <c r="I41" i="4" s="1"/>
  <c r="H33" i="4"/>
  <c r="I33" i="4" s="1"/>
  <c r="H25" i="4"/>
  <c r="I25" i="4" s="1"/>
  <c r="H17" i="4"/>
  <c r="I17" i="4" s="1"/>
  <c r="I49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I68" i="5" l="1"/>
  <c r="I48" i="4"/>
  <c r="I65" i="1"/>
  <c r="I64" i="1"/>
  <c r="I57" i="1"/>
  <c r="I55" i="1"/>
  <c r="I51" i="1"/>
  <c r="I67" i="1"/>
  <c r="I58" i="1"/>
  <c r="I62" i="1"/>
  <c r="I53" i="1"/>
  <c r="I54" i="1"/>
  <c r="I56" i="1"/>
  <c r="I60" i="1"/>
  <c r="I61" i="1"/>
  <c r="I59" i="1"/>
  <c r="I50" i="1"/>
  <c r="I44" i="1" l="1"/>
  <c r="I44" i="5"/>
  <c r="I45" i="5" s="1"/>
  <c r="I47" i="5" s="1"/>
  <c r="I43" i="1"/>
  <c r="I63" i="1"/>
  <c r="I66" i="1"/>
  <c r="I45" i="1" l="1"/>
  <c r="I46" i="1"/>
  <c r="I68" i="1"/>
  <c r="I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Moergeli</author>
  </authors>
  <commentList>
    <comment ref="C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Individual document no (external reference)
</t>
        </r>
        <r>
          <rPr>
            <b/>
            <i/>
            <sz val="8"/>
            <color indexed="81"/>
            <rFont val="Tahoma"/>
            <family val="2"/>
          </rPr>
          <t>Individuelle Dokumenten-Nr. (externe Belegreferenz)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Complete if not filled by claimant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i/>
            <sz val="8"/>
            <color indexed="81"/>
            <rFont val="Tahoma"/>
            <family val="2"/>
          </rPr>
          <t>Nur auszufüllen, wenn Name nicht identisch mit Begünstigter/m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Describe Mission (Beschreibung der Reise)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2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Cost Centre - please use 1 bill of expenses per Cost Centre
</t>
        </r>
        <r>
          <rPr>
            <b/>
            <i/>
            <sz val="8"/>
            <color indexed="81"/>
            <rFont val="Tahoma"/>
            <family val="2"/>
          </rPr>
          <t>Kostenstelle - Bitte pro Kostenstelle eine Spesenabrechnung verweden</t>
        </r>
      </text>
    </comment>
    <comment ref="K28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9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0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1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2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3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5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6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7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8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9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0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1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Moergeli</author>
  </authors>
  <commentList>
    <comment ref="C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Individual document no (external reference)
</t>
        </r>
        <r>
          <rPr>
            <b/>
            <i/>
            <sz val="8"/>
            <color indexed="81"/>
            <rFont val="Tahoma"/>
            <family val="2"/>
          </rPr>
          <t>Individuelle Dokumenten-Nr. (externe Belegreferenz)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7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Describe Mission (Beschreibung der Reise)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3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4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5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6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7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8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9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0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1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2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3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4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5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6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7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8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9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0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1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2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3" authorId="0" shapeId="0" xr:uid="{00000000-0006-0000-0100-000017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4" authorId="0" shapeId="0" xr:uid="{00000000-0006-0000-0100-000018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5" authorId="0" shapeId="0" xr:uid="{00000000-0006-0000-0100-000019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6" authorId="0" shapeId="0" xr:uid="{00000000-0006-0000-0100-00001A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7" authorId="0" shapeId="0" xr:uid="{00000000-0006-0000-0100-00001B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8" authorId="0" shapeId="0" xr:uid="{00000000-0006-0000-0100-00001C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9" authorId="0" shapeId="0" xr:uid="{00000000-0006-0000-0100-00001D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0" authorId="0" shapeId="0" xr:uid="{00000000-0006-0000-0100-00001E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1" authorId="0" shapeId="0" xr:uid="{00000000-0006-0000-0100-00001F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2" authorId="0" shapeId="0" xr:uid="{00000000-0006-0000-0100-000020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3" authorId="0" shapeId="0" xr:uid="{00000000-0006-0000-0100-000021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4" authorId="0" shapeId="0" xr:uid="{00000000-0006-0000-0100-000022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5" authorId="0" shapeId="0" xr:uid="{00000000-0006-0000-0100-000023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6" authorId="0" shapeId="0" xr:uid="{00000000-0006-0000-0100-000024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7" authorId="0" shapeId="0" xr:uid="{00000000-0006-0000-0100-000025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Moergeli</author>
  </authors>
  <commentList>
    <comment ref="C6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Individual document no (external reference)
</t>
        </r>
        <r>
          <rPr>
            <b/>
            <i/>
            <sz val="8"/>
            <color indexed="81"/>
            <rFont val="Tahoma"/>
            <family val="2"/>
          </rPr>
          <t>Individuelle Dokumenten-Nr. (externe Belegreferenz)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8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Complete if not filled by claimant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i/>
            <sz val="8"/>
            <color indexed="81"/>
            <rFont val="Tahoma"/>
            <family val="2"/>
          </rPr>
          <t>Nur auszufüllen, wenn Name nicht identisch mit Begünstigter/m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Describe Mission (Beschreibung der Reise)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2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Cost Centre - please use 1 bill of expenses per Cost Centre
</t>
        </r>
        <r>
          <rPr>
            <b/>
            <i/>
            <sz val="8"/>
            <color indexed="81"/>
            <rFont val="Tahoma"/>
            <family val="2"/>
          </rPr>
          <t>Kostenstelle - Bitte pro Kostenstelle eine Spesenabrechnung verweden</t>
        </r>
      </text>
    </comment>
    <comment ref="K28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0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1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2" authorId="0" shapeId="0" xr:uid="{00000000-0006-0000-0200-000009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3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4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5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6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7" authorId="0" shapeId="0" xr:uid="{00000000-0006-0000-0200-00000E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8" authorId="0" shapeId="0" xr:uid="{00000000-0006-0000-0200-00000F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9" authorId="0" shapeId="0" xr:uid="{00000000-0006-0000-0200-000010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0" authorId="0" shapeId="0" xr:uid="{00000000-0006-0000-0200-000011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1" authorId="0" shapeId="0" xr:uid="{00000000-0006-0000-0200-000012000000}">
      <text>
        <r>
          <rPr>
            <b/>
            <sz val="8"/>
            <color indexed="81"/>
            <rFont val="Tahoma"/>
            <family val="2"/>
          </rPr>
          <t>Select Account from list (Kontoauswahl)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<sst xmlns="http://schemas.openxmlformats.org/spreadsheetml/2006/main" count="195" uniqueCount="174">
  <si>
    <t>Date</t>
  </si>
  <si>
    <t>No</t>
  </si>
  <si>
    <t>Disbursement</t>
  </si>
  <si>
    <t>Currency</t>
  </si>
  <si>
    <t>Amount</t>
  </si>
  <si>
    <t>Rate</t>
  </si>
  <si>
    <t>Amount CHF</t>
  </si>
  <si>
    <t>Nr.</t>
  </si>
  <si>
    <t>Datum</t>
  </si>
  <si>
    <t>Auslage</t>
  </si>
  <si>
    <t>Währung</t>
  </si>
  <si>
    <t>Betrag</t>
  </si>
  <si>
    <t>Kurs</t>
  </si>
  <si>
    <t>Betrag CHF</t>
  </si>
  <si>
    <t>422000 Travel costs</t>
  </si>
  <si>
    <t>423000 Medical examinations, vaccinations etc.</t>
  </si>
  <si>
    <t>Account Code</t>
  </si>
  <si>
    <t>Description</t>
  </si>
  <si>
    <t>CHF</t>
  </si>
  <si>
    <t>Account</t>
  </si>
  <si>
    <t>USD</t>
  </si>
  <si>
    <t>Breakfast</t>
  </si>
  <si>
    <t>Lunch</t>
  </si>
  <si>
    <t>Dinner</t>
  </si>
  <si>
    <t>Private petty expenses for mission abroad</t>
  </si>
  <si>
    <t>Quantity</t>
  </si>
  <si>
    <t>Anzahl</t>
  </si>
  <si>
    <t>IBAN-Nr.</t>
  </si>
  <si>
    <t>Adresse</t>
  </si>
  <si>
    <t>Kto-Nr.</t>
  </si>
  <si>
    <t>Country</t>
  </si>
  <si>
    <t>500000 Procurement of material</t>
  </si>
  <si>
    <t>550000 Office material, printed matters</t>
  </si>
  <si>
    <t>550010 Photocopies</t>
  </si>
  <si>
    <t>Konto</t>
  </si>
  <si>
    <t>ACCOUNTING ONLY</t>
  </si>
  <si>
    <t>Other</t>
  </si>
  <si>
    <t>Other expenses</t>
  </si>
  <si>
    <t>Currencies</t>
  </si>
  <si>
    <t>GBP</t>
  </si>
  <si>
    <t>TOTAL</t>
  </si>
  <si>
    <t>Address</t>
  </si>
  <si>
    <t>BILL OF EXPENSES  - FIXED ALLOWANCES</t>
  </si>
  <si>
    <t>SPESENABRECHNUNG - PAUSCHALVERGÜTUNGEN</t>
  </si>
  <si>
    <t>TOTAL FIXED ALLOWANCES</t>
  </si>
  <si>
    <t>EXPENSES</t>
  </si>
  <si>
    <t>TOTAL EXPENSES</t>
  </si>
  <si>
    <t>Finalised by</t>
  </si>
  <si>
    <t>Total Expenses Page 1</t>
  </si>
  <si>
    <t>Total Expenses Page 2</t>
  </si>
  <si>
    <t>Applicable</t>
  </si>
  <si>
    <t>YES</t>
  </si>
  <si>
    <t>NO</t>
  </si>
  <si>
    <t>EUR</t>
  </si>
  <si>
    <t>In case of external overnight stay or return after 7.30 pm</t>
  </si>
  <si>
    <t>Exchange rate (filled in by Accounting)</t>
  </si>
  <si>
    <t>Currency (for payment)</t>
  </si>
  <si>
    <t>Budget-Linie</t>
  </si>
  <si>
    <t>EN</t>
  </si>
  <si>
    <t>DE</t>
  </si>
  <si>
    <t>Sprache</t>
  </si>
  <si>
    <t>Deutsch</t>
  </si>
  <si>
    <t>English</t>
  </si>
  <si>
    <t>Vorname</t>
  </si>
  <si>
    <t>Kostenstelle</t>
  </si>
  <si>
    <t>Ort</t>
  </si>
  <si>
    <t xml:space="preserve">Place </t>
  </si>
  <si>
    <t>Datum (tt.mm.jjjj)</t>
  </si>
  <si>
    <t>Währung für Zahlung</t>
  </si>
  <si>
    <t>Land</t>
  </si>
  <si>
    <t>PAUSCHALVERGÜTUNGEN</t>
  </si>
  <si>
    <t>JA</t>
  </si>
  <si>
    <t>NEIN</t>
  </si>
  <si>
    <t>FIXED ALLOWANCES</t>
  </si>
  <si>
    <t>Pauschalen pro Tag</t>
  </si>
  <si>
    <t>Lump sum per day</t>
  </si>
  <si>
    <t>Frühstück</t>
  </si>
  <si>
    <t>Mittagessen</t>
  </si>
  <si>
    <t>Abendessen</t>
  </si>
  <si>
    <t>If departures is before 7.30 am or respectively with overnight stay (only in case breakfast is not included)</t>
  </si>
  <si>
    <t>Bei Abreise vor 07.30 Uhr bzw. bei vorangehender Übernachtung, sofern das Frühstück in den Hotelkosten nicht inbegriffen ist</t>
  </si>
  <si>
    <t>Bei auswärtiger Übernachtung oder Rückkehr nach 19.30 Uhr</t>
  </si>
  <si>
    <t>TOTAL PAUSCHALVERGÜTUNGEN</t>
  </si>
  <si>
    <t>Wechselkurs (wird von Buchhaltung eingetragen)</t>
  </si>
  <si>
    <t>SPESEN</t>
  </si>
  <si>
    <t>TOTAL SPESEN</t>
  </si>
  <si>
    <t>Total Spesen Seite 1</t>
  </si>
  <si>
    <t>Total Spesen Seite 2</t>
  </si>
  <si>
    <t>Konto-Inhaber</t>
  </si>
  <si>
    <t>Adresse Bank/Post</t>
  </si>
  <si>
    <t>Konto-Nr.</t>
  </si>
  <si>
    <t>Erstellt von</t>
  </si>
  <si>
    <t>NUR FÜR BUCHHALTUNG</t>
  </si>
  <si>
    <t>Page 2</t>
  </si>
  <si>
    <t>Seite 2</t>
  </si>
  <si>
    <t>Unterschrift des/der Begünstigten</t>
  </si>
  <si>
    <t>Signature of beneficiary</t>
  </si>
  <si>
    <t>Visum Linien-Manager</t>
  </si>
  <si>
    <t>Visa Line Manager</t>
  </si>
  <si>
    <t xml:space="preserve">      Anzuwenden (bitte JA oder NEIN wählen)</t>
  </si>
  <si>
    <t xml:space="preserve">      Applicable (please select YES or NO)</t>
  </si>
  <si>
    <r>
      <t xml:space="preserve">550060 Expenses for meetings, guests, seminaries </t>
    </r>
    <r>
      <rPr>
        <i/>
        <sz val="9"/>
        <color theme="1"/>
        <rFont val="Calibri"/>
        <family val="2"/>
        <scheme val="minor"/>
      </rPr>
      <t>(enclose name list)</t>
    </r>
  </si>
  <si>
    <r>
      <t xml:space="preserve">568000 Field expenses </t>
    </r>
    <r>
      <rPr>
        <i/>
        <sz val="8"/>
        <color theme="1"/>
        <rFont val="Calibri"/>
        <family val="2"/>
        <scheme val="minor"/>
      </rPr>
      <t>(Remuneration field workers, consumables bought + used locally)</t>
    </r>
  </si>
  <si>
    <t>Address Bank/Post</t>
  </si>
  <si>
    <t>421000 Continuous education</t>
  </si>
  <si>
    <t>550020 Telephone, Fax, Internet</t>
  </si>
  <si>
    <t>550030 Postage</t>
  </si>
  <si>
    <t>Nachname</t>
  </si>
  <si>
    <t>Dokumenten-Nr.</t>
  </si>
  <si>
    <t>Kleinausgaben (bei Auslandsreisen)</t>
  </si>
  <si>
    <t>Bank/Post</t>
  </si>
  <si>
    <t>TOTAL TO BE PAID IN CURRENCY</t>
  </si>
  <si>
    <t>TOTAL ZU BEZAHLEN IN WÄHRUNG</t>
  </si>
  <si>
    <t>From (date)</t>
  </si>
  <si>
    <t>To (date)</t>
  </si>
  <si>
    <t>Von (Datum)</t>
  </si>
  <si>
    <t>Bis (Datum)</t>
  </si>
  <si>
    <t>Last name</t>
  </si>
  <si>
    <t>First name</t>
  </si>
  <si>
    <t>Cost centre</t>
  </si>
  <si>
    <t>Budget line</t>
  </si>
  <si>
    <t>Account no.</t>
  </si>
  <si>
    <t>IBAN no.</t>
  </si>
  <si>
    <t>Account holder</t>
  </si>
  <si>
    <t>Acc.code</t>
  </si>
  <si>
    <t>Mission/Zweck</t>
  </si>
  <si>
    <t>PLZ/Ort</t>
  </si>
  <si>
    <t>ZIP/Place</t>
  </si>
  <si>
    <t>Mission/Purpose</t>
  </si>
  <si>
    <t>422010 Accommodation and boarding costs</t>
  </si>
  <si>
    <t>423020 Other personnel costs</t>
  </si>
  <si>
    <t>500040 Books</t>
  </si>
  <si>
    <t>510010 Procurement equipment &lt; CHF 5'000</t>
  </si>
  <si>
    <t>550070 Donations</t>
  </si>
  <si>
    <t>550080 Authorizations, Fees</t>
  </si>
  <si>
    <t>Please select language / Bitte Sprache wählen</t>
  </si>
  <si>
    <t>Valuta (tt.mm.jjjj)</t>
  </si>
  <si>
    <t>Valuta (dd.mm.yyyy)</t>
  </si>
  <si>
    <t>BIC/SWIFT</t>
  </si>
  <si>
    <t>Entrydate (dd.mm.yyyy)</t>
  </si>
  <si>
    <t>Documentnr.</t>
  </si>
  <si>
    <t>What project is going to cover those expenses, only ONE per BoE</t>
  </si>
  <si>
    <t xml:space="preserve">City where the trip/activity took place, please complete the "Country" in the next cell. </t>
  </si>
  <si>
    <t xml:space="preserve">if you select yes, indicate the quantity of meal taken out of the office. Please refer to the Manual of Employees for the regulations. </t>
  </si>
  <si>
    <t>This is the date on the document</t>
  </si>
  <si>
    <t>Description of the voucher (one voucher = one line)</t>
  </si>
  <si>
    <t>For the account, select the accurate one in the column K</t>
  </si>
  <si>
    <t>Only if available for this project</t>
  </si>
  <si>
    <t xml:space="preserve">Complete Page 2 if there is not enough place, it will automatically be reported on the first page. </t>
  </si>
  <si>
    <t>Person who should recieve the money back</t>
  </si>
  <si>
    <t>Project leader responsible for the cost center (can be different from your line supervisor)</t>
  </si>
  <si>
    <t>This is mandatory so the payment can be made. For data protection reason, the Bank informaration for the salary are not available to pay the BoE</t>
  </si>
  <si>
    <t>This  is your reference and it will also appear on the payment received</t>
  </si>
  <si>
    <t xml:space="preserve">Date when this document is being filled. </t>
  </si>
  <si>
    <t>This is the person who complete</t>
  </si>
  <si>
    <t>This is mandatory so the payment can be made. For data protection reason, the Bank information for the salary are not available to pay the BoE</t>
  </si>
  <si>
    <t xml:space="preserve">Reasons of the expenses or any indications. For EU &amp; SNF Donor this is extremely important information for the financial report. </t>
  </si>
  <si>
    <t>Mandatory to complete</t>
  </si>
  <si>
    <t>Country where the trip/activity took place.</t>
  </si>
  <si>
    <r>
      <t xml:space="preserve">Private petty expenses for mission abroad - </t>
    </r>
    <r>
      <rPr>
        <sz val="10"/>
        <color theme="9"/>
        <rFont val="Arial"/>
        <family val="2"/>
      </rPr>
      <t xml:space="preserve">Only when you are not in the country of your contract. </t>
    </r>
  </si>
  <si>
    <t>Date when the Visa Line Manager signs</t>
  </si>
  <si>
    <t>Zenabu</t>
  </si>
  <si>
    <t>Suboi</t>
  </si>
  <si>
    <t>Zenabu Suboi</t>
  </si>
  <si>
    <t xml:space="preserve">ECOBANK </t>
  </si>
  <si>
    <t>BOX 16746</t>
  </si>
  <si>
    <t>ACCRA - GHANA</t>
  </si>
  <si>
    <t>ECOCGHAC</t>
  </si>
  <si>
    <t>HBC, BOX 12914, CHANTAN - LAPAZ</t>
  </si>
  <si>
    <t xml:space="preserve">To attend ASTMH 2025 Annual Meeting </t>
  </si>
  <si>
    <t>Toronto</t>
  </si>
  <si>
    <t>Canada</t>
  </si>
  <si>
    <t>CAD</t>
  </si>
  <si>
    <t>Visa application and biometric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</si>
</sst>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dd/mm/yyyy;@"/>
    <numFmt numFmtId="166" formatCode="0.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8"/>
      <color indexed="81"/>
      <name val="Tahoma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 tint="-0.499984740745262"/>
      <name val="Arial"/>
      <family val="2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9"/>
      <name val="Arial"/>
      <family val="2"/>
    </font>
    <font>
      <sz val="11"/>
      <color theme="9"/>
      <name val="Calibri"/>
      <family val="2"/>
      <scheme val="minor"/>
    </font>
    <font>
      <sz val="10"/>
      <color theme="9"/>
      <name val="Arial"/>
      <family val="2"/>
    </font>
    <font>
      <sz val="9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8" xfId="0" applyFont="1" applyBorder="1" applyAlignment="1">
      <alignment wrapText="1"/>
    </xf>
    <xf numFmtId="4" fontId="10" fillId="0" borderId="8" xfId="0" applyNumberFormat="1" applyFont="1" applyBorder="1" applyAlignment="1">
      <alignment horizontal="right"/>
    </xf>
    <xf numFmtId="0" fontId="11" fillId="0" borderId="0" xfId="0" applyFont="1"/>
    <xf numFmtId="0" fontId="8" fillId="0" borderId="10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10" fillId="0" borderId="13" xfId="0" applyFont="1" applyBorder="1" applyAlignment="1">
      <alignment horizontal="right"/>
    </xf>
    <xf numFmtId="0" fontId="11" fillId="0" borderId="17" xfId="0" applyFont="1" applyBorder="1"/>
    <xf numFmtId="0" fontId="7" fillId="0" borderId="9" xfId="0" applyFont="1" applyBorder="1"/>
    <xf numFmtId="0" fontId="8" fillId="0" borderId="10" xfId="0" applyFont="1" applyBorder="1"/>
    <xf numFmtId="0" fontId="8" fillId="0" borderId="10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wrapText="1"/>
    </xf>
    <xf numFmtId="0" fontId="10" fillId="0" borderId="10" xfId="0" applyFont="1" applyBorder="1"/>
    <xf numFmtId="0" fontId="10" fillId="0" borderId="10" xfId="0" applyFont="1" applyBorder="1" applyAlignment="1">
      <alignment wrapText="1"/>
    </xf>
    <xf numFmtId="0" fontId="10" fillId="0" borderId="10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12" xfId="0" applyFont="1" applyBorder="1"/>
    <xf numFmtId="4" fontId="10" fillId="0" borderId="26" xfId="0" applyNumberFormat="1" applyFont="1" applyBorder="1" applyAlignment="1">
      <alignment horizontal="right"/>
    </xf>
    <xf numFmtId="0" fontId="10" fillId="0" borderId="14" xfId="0" applyFont="1" applyBorder="1"/>
    <xf numFmtId="0" fontId="10" fillId="0" borderId="15" xfId="0" applyFont="1" applyBorder="1"/>
    <xf numFmtId="4" fontId="8" fillId="0" borderId="0" xfId="0" applyNumberFormat="1" applyFont="1" applyAlignment="1">
      <alignment horizontal="left"/>
    </xf>
    <xf numFmtId="0" fontId="15" fillId="0" borderId="22" xfId="0" applyFont="1" applyBorder="1"/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right"/>
    </xf>
    <xf numFmtId="0" fontId="15" fillId="0" borderId="24" xfId="0" applyFont="1" applyBorder="1" applyAlignment="1">
      <alignment horizontal="right"/>
    </xf>
    <xf numFmtId="0" fontId="10" fillId="0" borderId="13" xfId="0" applyFont="1" applyBorder="1" applyAlignment="1">
      <alignment wrapText="1"/>
    </xf>
    <xf numFmtId="0" fontId="11" fillId="0" borderId="27" xfId="0" applyFont="1" applyBorder="1"/>
    <xf numFmtId="0" fontId="11" fillId="0" borderId="33" xfId="0" applyFont="1" applyBorder="1"/>
    <xf numFmtId="0" fontId="11" fillId="0" borderId="33" xfId="0" applyFont="1" applyBorder="1" applyAlignment="1">
      <alignment wrapText="1"/>
    </xf>
    <xf numFmtId="0" fontId="11" fillId="0" borderId="33" xfId="0" applyFont="1" applyBorder="1" applyAlignment="1">
      <alignment horizontal="center"/>
    </xf>
    <xf numFmtId="3" fontId="11" fillId="0" borderId="33" xfId="0" applyNumberFormat="1" applyFont="1" applyBorder="1" applyAlignment="1">
      <alignment horizontal="center"/>
    </xf>
    <xf numFmtId="4" fontId="11" fillId="0" borderId="33" xfId="0" applyNumberFormat="1" applyFont="1" applyBorder="1" applyAlignment="1">
      <alignment horizontal="right"/>
    </xf>
    <xf numFmtId="4" fontId="11" fillId="0" borderId="34" xfId="0" applyNumberFormat="1" applyFont="1" applyBorder="1" applyAlignment="1">
      <alignment horizontal="right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4" fontId="13" fillId="0" borderId="0" xfId="0" applyNumberFormat="1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9" fillId="0" borderId="0" xfId="0" applyFont="1"/>
    <xf numFmtId="0" fontId="15" fillId="0" borderId="0" xfId="0" applyFont="1"/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0" fillId="0" borderId="8" xfId="0" applyFont="1" applyBorder="1" applyAlignment="1">
      <alignment horizontal="right" wrapText="1"/>
    </xf>
    <xf numFmtId="0" fontId="10" fillId="0" borderId="25" xfId="0" applyFont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27" xfId="0" applyFont="1" applyBorder="1" applyAlignment="1">
      <alignment horizontal="right"/>
    </xf>
    <xf numFmtId="0" fontId="10" fillId="0" borderId="33" xfId="0" applyFont="1" applyBorder="1" applyAlignment="1">
      <alignment horizontal="right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8" fillId="0" borderId="38" xfId="0" applyFont="1" applyBorder="1"/>
    <xf numFmtId="0" fontId="10" fillId="0" borderId="27" xfId="0" applyFont="1" applyBorder="1" applyAlignment="1">
      <alignment horizontal="left"/>
    </xf>
    <xf numFmtId="0" fontId="10" fillId="0" borderId="37" xfId="0" applyFont="1" applyBorder="1"/>
    <xf numFmtId="0" fontId="10" fillId="0" borderId="2" xfId="0" applyFont="1" applyBorder="1" applyAlignment="1">
      <alignment horizontal="right"/>
    </xf>
    <xf numFmtId="165" fontId="8" fillId="0" borderId="13" xfId="0" applyNumberFormat="1" applyFont="1" applyBorder="1"/>
    <xf numFmtId="165" fontId="10" fillId="2" borderId="6" xfId="0" applyNumberFormat="1" applyFont="1" applyFill="1" applyBorder="1" applyAlignment="1" applyProtection="1">
      <alignment horizontal="left" wrapText="1"/>
      <protection locked="0"/>
    </xf>
    <xf numFmtId="3" fontId="10" fillId="2" borderId="8" xfId="0" applyNumberFormat="1" applyFont="1" applyFill="1" applyBorder="1" applyAlignment="1" applyProtection="1">
      <alignment horizontal="center"/>
      <protection locked="0"/>
    </xf>
    <xf numFmtId="14" fontId="10" fillId="2" borderId="8" xfId="0" applyNumberFormat="1" applyFont="1" applyFill="1" applyBorder="1" applyAlignment="1" applyProtection="1">
      <alignment horizontal="center"/>
      <protection locked="0"/>
    </xf>
    <xf numFmtId="0" fontId="9" fillId="2" borderId="8" xfId="0" applyFont="1" applyFill="1" applyBorder="1" applyAlignment="1" applyProtection="1">
      <alignment wrapText="1"/>
      <protection locked="0"/>
    </xf>
    <xf numFmtId="0" fontId="9" fillId="2" borderId="28" xfId="0" applyFont="1" applyFill="1" applyBorder="1" applyAlignment="1" applyProtection="1">
      <alignment wrapText="1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18" xfId="0" applyFont="1" applyFill="1" applyBorder="1" applyAlignment="1" applyProtection="1">
      <alignment wrapText="1"/>
      <protection locked="0"/>
    </xf>
    <xf numFmtId="0" fontId="10" fillId="0" borderId="10" xfId="0" applyFont="1" applyBorder="1" applyAlignment="1">
      <alignment horizontal="left"/>
    </xf>
    <xf numFmtId="0" fontId="10" fillId="0" borderId="29" xfId="0" applyFont="1" applyBorder="1" applyAlignment="1">
      <alignment horizontal="right"/>
    </xf>
    <xf numFmtId="0" fontId="8" fillId="0" borderId="19" xfId="0" applyFont="1" applyBorder="1"/>
    <xf numFmtId="0" fontId="8" fillId="0" borderId="15" xfId="0" applyFont="1" applyBorder="1"/>
    <xf numFmtId="0" fontId="11" fillId="0" borderId="31" xfId="0" applyFont="1" applyBorder="1" applyAlignment="1">
      <alignment horizontal="center"/>
    </xf>
    <xf numFmtId="0" fontId="10" fillId="0" borderId="16" xfId="0" applyFont="1" applyBorder="1" applyAlignment="1">
      <alignment wrapText="1"/>
    </xf>
    <xf numFmtId="0" fontId="10" fillId="2" borderId="31" xfId="0" applyFont="1" applyFill="1" applyBorder="1" applyAlignment="1" applyProtection="1">
      <alignment horizontal="left" wrapText="1"/>
      <protection locked="0"/>
    </xf>
    <xf numFmtId="0" fontId="11" fillId="2" borderId="36" xfId="0" applyFont="1" applyFill="1" applyBorder="1" applyAlignment="1" applyProtection="1">
      <alignment horizontal="center" wrapText="1"/>
      <protection locked="0"/>
    </xf>
    <xf numFmtId="14" fontId="9" fillId="2" borderId="8" xfId="0" applyNumberFormat="1" applyFont="1" applyFill="1" applyBorder="1" applyAlignment="1" applyProtection="1">
      <alignment horizontal="center"/>
      <protection locked="0"/>
    </xf>
    <xf numFmtId="14" fontId="9" fillId="2" borderId="28" xfId="0" applyNumberFormat="1" applyFont="1" applyFill="1" applyBorder="1" applyAlignment="1" applyProtection="1">
      <alignment horizontal="center"/>
      <protection locked="0"/>
    </xf>
    <xf numFmtId="0" fontId="10" fillId="0" borderId="45" xfId="0" applyFont="1" applyBorder="1" applyAlignment="1">
      <alignment vertical="center"/>
    </xf>
    <xf numFmtId="0" fontId="10" fillId="0" borderId="46" xfId="0" applyFont="1" applyBorder="1" applyAlignment="1">
      <alignment vertical="center"/>
    </xf>
    <xf numFmtId="0" fontId="10" fillId="0" borderId="46" xfId="0" applyFont="1" applyBorder="1" applyAlignment="1">
      <alignment horizontal="right" vertical="center"/>
    </xf>
    <xf numFmtId="4" fontId="11" fillId="0" borderId="48" xfId="0" applyNumberFormat="1" applyFont="1" applyBorder="1" applyAlignment="1">
      <alignment vertical="center"/>
    </xf>
    <xf numFmtId="0" fontId="10" fillId="0" borderId="15" xfId="0" applyFont="1" applyBorder="1" applyAlignment="1">
      <alignment horizontal="right"/>
    </xf>
    <xf numFmtId="4" fontId="11" fillId="0" borderId="47" xfId="0" applyNumberFormat="1" applyFont="1" applyBorder="1" applyAlignment="1">
      <alignment horizontal="right" vertical="center"/>
    </xf>
    <xf numFmtId="0" fontId="15" fillId="0" borderId="7" xfId="0" applyFont="1" applyBorder="1"/>
    <xf numFmtId="0" fontId="15" fillId="0" borderId="7" xfId="0" applyFont="1" applyBorder="1" applyAlignment="1">
      <alignment wrapText="1"/>
    </xf>
    <xf numFmtId="0" fontId="15" fillId="0" borderId="7" xfId="0" applyFont="1" applyBorder="1" applyAlignment="1">
      <alignment horizontal="center"/>
    </xf>
    <xf numFmtId="0" fontId="0" fillId="0" borderId="0" xfId="0" applyAlignment="1">
      <alignment horizontal="right"/>
    </xf>
    <xf numFmtId="166" fontId="10" fillId="0" borderId="47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14" fillId="0" borderId="1" xfId="0" applyFont="1" applyBorder="1"/>
    <xf numFmtId="0" fontId="0" fillId="0" borderId="0" xfId="0" applyAlignment="1">
      <alignment wrapText="1"/>
    </xf>
    <xf numFmtId="0" fontId="9" fillId="0" borderId="4" xfId="0" applyFont="1" applyBorder="1" applyAlignment="1">
      <alignment shrinkToFit="1"/>
    </xf>
    <xf numFmtId="164" fontId="9" fillId="2" borderId="8" xfId="0" applyNumberFormat="1" applyFont="1" applyFill="1" applyBorder="1" applyAlignment="1" applyProtection="1">
      <alignment horizontal="right" shrinkToFit="1"/>
      <protection locked="0"/>
    </xf>
    <xf numFmtId="4" fontId="10" fillId="2" borderId="8" xfId="0" applyNumberFormat="1" applyFont="1" applyFill="1" applyBorder="1" applyAlignment="1" applyProtection="1">
      <alignment horizontal="right" shrinkToFit="1"/>
      <protection locked="0"/>
    </xf>
    <xf numFmtId="4" fontId="10" fillId="2" borderId="28" xfId="0" applyNumberFormat="1" applyFont="1" applyFill="1" applyBorder="1" applyAlignment="1" applyProtection="1">
      <alignment horizontal="right" shrinkToFit="1"/>
      <protection locked="0"/>
    </xf>
    <xf numFmtId="4" fontId="11" fillId="0" borderId="26" xfId="0" applyNumberFormat="1" applyFont="1" applyBorder="1" applyAlignment="1">
      <alignment horizontal="right" shrinkToFit="1"/>
    </xf>
    <xf numFmtId="4" fontId="11" fillId="0" borderId="40" xfId="0" applyNumberFormat="1" applyFont="1" applyBorder="1" applyAlignment="1">
      <alignment horizontal="right" shrinkToFit="1"/>
    </xf>
    <xf numFmtId="0" fontId="6" fillId="2" borderId="41" xfId="0" applyFont="1" applyFill="1" applyBorder="1" applyProtection="1">
      <protection locked="0"/>
    </xf>
    <xf numFmtId="0" fontId="21" fillId="3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right" vertical="center"/>
    </xf>
    <xf numFmtId="0" fontId="23" fillId="2" borderId="1" xfId="0" applyFont="1" applyFill="1" applyBorder="1" applyAlignment="1" applyProtection="1">
      <alignment horizontal="right" vertical="center"/>
      <protection locked="0"/>
    </xf>
    <xf numFmtId="0" fontId="15" fillId="0" borderId="4" xfId="0" applyFont="1" applyBorder="1" applyAlignment="1">
      <alignment horizontal="right" shrinkToFit="1"/>
    </xf>
    <xf numFmtId="0" fontId="15" fillId="0" borderId="24" xfId="0" applyFont="1" applyBorder="1" applyAlignment="1">
      <alignment horizontal="right" shrinkToFit="1"/>
    </xf>
    <xf numFmtId="3" fontId="15" fillId="0" borderId="0" xfId="0" applyNumberFormat="1" applyFont="1" applyAlignment="1">
      <alignment horizontal="center" shrinkToFit="1"/>
    </xf>
    <xf numFmtId="4" fontId="15" fillId="0" borderId="0" xfId="0" applyNumberFormat="1" applyFont="1" applyAlignment="1">
      <alignment horizontal="right" shrinkToFit="1"/>
    </xf>
    <xf numFmtId="0" fontId="9" fillId="0" borderId="0" xfId="0" applyFont="1" applyAlignment="1">
      <alignment shrinkToFit="1"/>
    </xf>
    <xf numFmtId="0" fontId="15" fillId="0" borderId="0" xfId="0" applyFont="1" applyAlignment="1">
      <alignment horizontal="right" shrinkToFit="1"/>
    </xf>
    <xf numFmtId="3" fontId="15" fillId="0" borderId="7" xfId="0" applyNumberFormat="1" applyFont="1" applyBorder="1" applyAlignment="1">
      <alignment horizontal="center" shrinkToFit="1"/>
    </xf>
    <xf numFmtId="4" fontId="15" fillId="0" borderId="7" xfId="0" applyNumberFormat="1" applyFont="1" applyBorder="1" applyAlignment="1">
      <alignment horizontal="right" shrinkToFit="1"/>
    </xf>
    <xf numFmtId="0" fontId="8" fillId="0" borderId="11" xfId="0" applyFont="1" applyBorder="1" applyAlignment="1">
      <alignment horizontal="right" shrinkToFit="1"/>
    </xf>
    <xf numFmtId="4" fontId="11" fillId="0" borderId="30" xfId="0" applyNumberFormat="1" applyFont="1" applyBorder="1" applyAlignment="1">
      <alignment horizontal="right" shrinkToFit="1"/>
    </xf>
    <xf numFmtId="4" fontId="11" fillId="0" borderId="34" xfId="0" applyNumberFormat="1" applyFont="1" applyBorder="1" applyAlignment="1">
      <alignment horizontal="right" shrinkToFit="1"/>
    </xf>
    <xf numFmtId="4" fontId="11" fillId="0" borderId="16" xfId="0" applyNumberFormat="1" applyFont="1" applyBorder="1" applyAlignment="1">
      <alignment horizontal="right" shrinkToFit="1"/>
    </xf>
    <xf numFmtId="0" fontId="15" fillId="0" borderId="22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0" borderId="4" xfId="0" applyFont="1" applyBorder="1" applyAlignment="1">
      <alignment horizontal="center" shrinkToFit="1"/>
    </xf>
    <xf numFmtId="0" fontId="8" fillId="2" borderId="58" xfId="0" applyFont="1" applyFill="1" applyBorder="1"/>
    <xf numFmtId="0" fontId="8" fillId="2" borderId="59" xfId="0" applyFont="1" applyFill="1" applyBorder="1"/>
    <xf numFmtId="0" fontId="8" fillId="2" borderId="60" xfId="0" applyFont="1" applyFill="1" applyBorder="1"/>
    <xf numFmtId="0" fontId="10" fillId="0" borderId="7" xfId="0" applyFont="1" applyBorder="1" applyAlignment="1">
      <alignment horizontal="left"/>
    </xf>
    <xf numFmtId="0" fontId="11" fillId="0" borderId="10" xfId="0" applyFont="1" applyBorder="1"/>
    <xf numFmtId="0" fontId="11" fillId="0" borderId="10" xfId="0" applyFont="1" applyBorder="1" applyAlignment="1">
      <alignment wrapText="1"/>
    </xf>
    <xf numFmtId="0" fontId="11" fillId="0" borderId="10" xfId="0" applyFont="1" applyBorder="1" applyAlignment="1">
      <alignment horizontal="center"/>
    </xf>
    <xf numFmtId="3" fontId="11" fillId="0" borderId="10" xfId="0" applyNumberFormat="1" applyFont="1" applyBorder="1" applyAlignment="1">
      <alignment horizontal="center" shrinkToFit="1"/>
    </xf>
    <xf numFmtId="4" fontId="11" fillId="0" borderId="10" xfId="0" applyNumberFormat="1" applyFont="1" applyBorder="1" applyAlignment="1">
      <alignment horizontal="right" shrinkToFit="1"/>
    </xf>
    <xf numFmtId="165" fontId="8" fillId="2" borderId="41" xfId="0" applyNumberFormat="1" applyFont="1" applyFill="1" applyBorder="1" applyProtection="1">
      <protection locked="0"/>
    </xf>
    <xf numFmtId="0" fontId="10" fillId="0" borderId="56" xfId="0" applyFont="1" applyBorder="1"/>
    <xf numFmtId="165" fontId="8" fillId="2" borderId="41" xfId="0" applyNumberFormat="1" applyFont="1" applyFill="1" applyBorder="1" applyAlignment="1" applyProtection="1">
      <alignment horizontal="right"/>
      <protection locked="0"/>
    </xf>
    <xf numFmtId="0" fontId="8" fillId="2" borderId="24" xfId="0" applyFont="1" applyFill="1" applyBorder="1"/>
    <xf numFmtId="14" fontId="8" fillId="2" borderId="58" xfId="0" applyNumberFormat="1" applyFont="1" applyFill="1" applyBorder="1" applyAlignment="1" applyProtection="1">
      <alignment horizontal="left"/>
      <protection locked="0"/>
    </xf>
    <xf numFmtId="0" fontId="8" fillId="2" borderId="63" xfId="0" applyFont="1" applyFill="1" applyBorder="1"/>
    <xf numFmtId="14" fontId="8" fillId="0" borderId="0" xfId="0" applyNumberFormat="1" applyFont="1"/>
    <xf numFmtId="0" fontId="15" fillId="0" borderId="9" xfId="0" applyFont="1" applyBorder="1"/>
    <xf numFmtId="4" fontId="11" fillId="0" borderId="11" xfId="0" applyNumberFormat="1" applyFont="1" applyBorder="1" applyAlignment="1">
      <alignment horizontal="right" shrinkToFit="1"/>
    </xf>
    <xf numFmtId="0" fontId="15" fillId="0" borderId="12" xfId="0" applyFont="1" applyBorder="1"/>
    <xf numFmtId="4" fontId="15" fillId="0" borderId="13" xfId="0" applyNumberFormat="1" applyFont="1" applyBorder="1" applyAlignment="1">
      <alignment horizontal="right" shrinkToFit="1"/>
    </xf>
    <xf numFmtId="4" fontId="15" fillId="0" borderId="23" xfId="0" applyNumberFormat="1" applyFont="1" applyBorder="1" applyAlignment="1">
      <alignment shrinkToFit="1"/>
    </xf>
    <xf numFmtId="0" fontId="15" fillId="0" borderId="25" xfId="0" applyFont="1" applyBorder="1"/>
    <xf numFmtId="4" fontId="15" fillId="0" borderId="30" xfId="0" applyNumberFormat="1" applyFont="1" applyBorder="1" applyAlignment="1">
      <alignment horizontal="right" shrinkToFit="1"/>
    </xf>
    <xf numFmtId="0" fontId="15" fillId="0" borderId="27" xfId="0" applyFont="1" applyBorder="1"/>
    <xf numFmtId="0" fontId="15" fillId="0" borderId="33" xfId="0" applyFont="1" applyBorder="1"/>
    <xf numFmtId="0" fontId="15" fillId="0" borderId="33" xfId="0" applyFont="1" applyBorder="1" applyAlignment="1">
      <alignment wrapText="1"/>
    </xf>
    <xf numFmtId="0" fontId="15" fillId="0" borderId="33" xfId="0" applyFont="1" applyBorder="1" applyAlignment="1">
      <alignment horizontal="center"/>
    </xf>
    <xf numFmtId="3" fontId="15" fillId="0" borderId="33" xfId="0" applyNumberFormat="1" applyFont="1" applyBorder="1" applyAlignment="1">
      <alignment horizontal="center" shrinkToFit="1"/>
    </xf>
    <xf numFmtId="4" fontId="15" fillId="0" borderId="33" xfId="0" applyNumberFormat="1" applyFont="1" applyBorder="1" applyAlignment="1">
      <alignment horizontal="right" shrinkToFit="1"/>
    </xf>
    <xf numFmtId="4" fontId="15" fillId="0" borderId="34" xfId="0" applyNumberFormat="1" applyFont="1" applyBorder="1" applyAlignment="1">
      <alignment horizontal="right" shrinkToFit="1"/>
    </xf>
    <xf numFmtId="3" fontId="11" fillId="0" borderId="33" xfId="0" applyNumberFormat="1" applyFont="1" applyBorder="1" applyAlignment="1">
      <alignment horizontal="center" shrinkToFit="1"/>
    </xf>
    <xf numFmtId="4" fontId="11" fillId="0" borderId="33" xfId="0" applyNumberFormat="1" applyFont="1" applyBorder="1" applyAlignment="1">
      <alignment horizontal="right" shrinkToFit="1"/>
    </xf>
    <xf numFmtId="1" fontId="19" fillId="2" borderId="6" xfId="0" applyNumberFormat="1" applyFont="1" applyFill="1" applyBorder="1" applyAlignment="1" applyProtection="1">
      <alignment horizontal="left" wrapText="1"/>
      <protection locked="0"/>
    </xf>
    <xf numFmtId="0" fontId="19" fillId="2" borderId="4" xfId="0" applyFont="1" applyFill="1" applyBorder="1" applyAlignment="1" applyProtection="1">
      <alignment horizontal="center"/>
      <protection locked="0"/>
    </xf>
    <xf numFmtId="1" fontId="10" fillId="2" borderId="42" xfId="0" applyNumberFormat="1" applyFont="1" applyFill="1" applyBorder="1" applyAlignment="1">
      <alignment horizontal="left" wrapText="1"/>
    </xf>
    <xf numFmtId="0" fontId="23" fillId="2" borderId="1" xfId="0" applyFont="1" applyFill="1" applyBorder="1" applyAlignment="1">
      <alignment horizontal="right" vertical="center"/>
    </xf>
    <xf numFmtId="165" fontId="26" fillId="2" borderId="41" xfId="0" applyNumberFormat="1" applyFont="1" applyFill="1" applyBorder="1"/>
    <xf numFmtId="165" fontId="26" fillId="2" borderId="41" xfId="0" applyNumberFormat="1" applyFont="1" applyFill="1" applyBorder="1" applyAlignment="1">
      <alignment horizontal="left" vertical="center" wrapText="1"/>
    </xf>
    <xf numFmtId="1" fontId="26" fillId="2" borderId="6" xfId="0" applyNumberFormat="1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center"/>
    </xf>
    <xf numFmtId="165" fontId="28" fillId="2" borderId="6" xfId="0" applyNumberFormat="1" applyFont="1" applyFill="1" applyBorder="1" applyAlignment="1">
      <alignment horizontal="left" wrapText="1"/>
    </xf>
    <xf numFmtId="0" fontId="28" fillId="2" borderId="31" xfId="0" applyFont="1" applyFill="1" applyBorder="1" applyAlignment="1">
      <alignment horizontal="left" wrapText="1"/>
    </xf>
    <xf numFmtId="0" fontId="11" fillId="2" borderId="36" xfId="0" applyFont="1" applyFill="1" applyBorder="1" applyAlignment="1">
      <alignment horizontal="center" wrapText="1"/>
    </xf>
    <xf numFmtId="3" fontId="10" fillId="2" borderId="8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wrapText="1"/>
    </xf>
    <xf numFmtId="14" fontId="29" fillId="2" borderId="8" xfId="0" applyNumberFormat="1" applyFont="1" applyFill="1" applyBorder="1" applyAlignment="1">
      <alignment horizontal="left" wrapText="1"/>
    </xf>
    <xf numFmtId="0" fontId="29" fillId="2" borderId="8" xfId="0" applyFont="1" applyFill="1" applyBorder="1" applyAlignment="1">
      <alignment wrapText="1"/>
    </xf>
    <xf numFmtId="0" fontId="28" fillId="0" borderId="8" xfId="0" applyFont="1" applyBorder="1" applyAlignment="1">
      <alignment wrapText="1"/>
    </xf>
    <xf numFmtId="0" fontId="10" fillId="2" borderId="8" xfId="0" applyFont="1" applyFill="1" applyBorder="1" applyAlignment="1">
      <alignment horizontal="center"/>
    </xf>
    <xf numFmtId="4" fontId="10" fillId="2" borderId="8" xfId="0" applyNumberFormat="1" applyFont="1" applyFill="1" applyBorder="1" applyAlignment="1">
      <alignment horizontal="right" shrinkToFit="1"/>
    </xf>
    <xf numFmtId="164" fontId="9" fillId="2" borderId="8" xfId="0" applyNumberFormat="1" applyFont="1" applyFill="1" applyBorder="1" applyAlignment="1">
      <alignment horizontal="right" shrinkToFit="1"/>
    </xf>
    <xf numFmtId="0" fontId="10" fillId="2" borderId="18" xfId="0" applyFont="1" applyFill="1" applyBorder="1" applyAlignment="1">
      <alignment wrapText="1"/>
    </xf>
    <xf numFmtId="14" fontId="9" fillId="2" borderId="8" xfId="0" applyNumberFormat="1" applyFont="1" applyFill="1" applyBorder="1" applyAlignment="1">
      <alignment horizontal="center"/>
    </xf>
    <xf numFmtId="14" fontId="9" fillId="2" borderId="28" xfId="0" applyNumberFormat="1" applyFont="1" applyFill="1" applyBorder="1" applyAlignment="1">
      <alignment horizontal="center"/>
    </xf>
    <xf numFmtId="0" fontId="9" fillId="2" borderId="28" xfId="0" applyFont="1" applyFill="1" applyBorder="1" applyAlignment="1">
      <alignment wrapText="1"/>
    </xf>
    <xf numFmtId="4" fontId="10" fillId="2" borderId="28" xfId="0" applyNumberFormat="1" applyFont="1" applyFill="1" applyBorder="1" applyAlignment="1">
      <alignment horizontal="right" shrinkToFit="1"/>
    </xf>
    <xf numFmtId="0" fontId="8" fillId="2" borderId="58" xfId="0" applyFont="1" applyFill="1" applyBorder="1" applyAlignment="1">
      <alignment wrapText="1"/>
    </xf>
    <xf numFmtId="0" fontId="26" fillId="2" borderId="59" xfId="0" applyFont="1" applyFill="1" applyBorder="1" applyAlignment="1">
      <alignment wrapText="1"/>
    </xf>
    <xf numFmtId="0" fontId="8" fillId="2" borderId="60" xfId="0" applyFont="1" applyFill="1" applyBorder="1" applyAlignment="1">
      <alignment wrapText="1"/>
    </xf>
    <xf numFmtId="14" fontId="26" fillId="2" borderId="58" xfId="0" applyNumberFormat="1" applyFont="1" applyFill="1" applyBorder="1" applyAlignment="1">
      <alignment horizontal="left"/>
    </xf>
    <xf numFmtId="0" fontId="4" fillId="2" borderId="51" xfId="0" applyFont="1" applyFill="1" applyBorder="1" applyProtection="1">
      <protection locked="0"/>
    </xf>
    <xf numFmtId="0" fontId="4" fillId="2" borderId="41" xfId="0" applyFont="1" applyFill="1" applyBorder="1" applyProtection="1">
      <protection locked="0"/>
    </xf>
    <xf numFmtId="0" fontId="4" fillId="2" borderId="54" xfId="0" applyFont="1" applyFill="1" applyBorder="1" applyProtection="1">
      <protection locked="0"/>
    </xf>
    <xf numFmtId="1" fontId="6" fillId="2" borderId="41" xfId="0" applyNumberFormat="1" applyFont="1" applyFill="1" applyBorder="1" applyAlignment="1" applyProtection="1">
      <alignment horizontal="left"/>
      <protection locked="0"/>
    </xf>
    <xf numFmtId="0" fontId="3" fillId="2" borderId="41" xfId="0" applyFont="1" applyFill="1" applyBorder="1" applyProtection="1">
      <protection locked="0"/>
    </xf>
    <xf numFmtId="0" fontId="10" fillId="0" borderId="9" xfId="0" applyFont="1" applyBorder="1" applyAlignment="1">
      <alignment wrapText="1" shrinkToFit="1"/>
    </xf>
    <xf numFmtId="0" fontId="0" fillId="0" borderId="55" xfId="0" applyBorder="1" applyAlignment="1">
      <alignment wrapText="1"/>
    </xf>
    <xf numFmtId="0" fontId="0" fillId="0" borderId="61" xfId="0" applyBorder="1" applyAlignment="1">
      <alignment wrapText="1"/>
    </xf>
    <xf numFmtId="0" fontId="0" fillId="0" borderId="62" xfId="0" applyBorder="1" applyAlignment="1">
      <alignment wrapText="1"/>
    </xf>
    <xf numFmtId="0" fontId="0" fillId="0" borderId="2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8" fillId="0" borderId="37" xfId="0" applyFont="1" applyBorder="1" applyAlignment="1">
      <alignment horizontal="left" shrinkToFit="1"/>
    </xf>
    <xf numFmtId="0" fontId="0" fillId="0" borderId="20" xfId="0" applyBorder="1"/>
    <xf numFmtId="0" fontId="10" fillId="0" borderId="53" xfId="0" applyFont="1" applyBorder="1" applyAlignment="1">
      <alignment shrinkToFit="1"/>
    </xf>
    <xf numFmtId="0" fontId="0" fillId="0" borderId="42" xfId="0" applyBorder="1"/>
    <xf numFmtId="0" fontId="10" fillId="0" borderId="9" xfId="0" applyFont="1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10" fillId="0" borderId="49" xfId="0" applyFont="1" applyBorder="1" applyAlignment="1">
      <alignment shrinkToFit="1"/>
    </xf>
    <xf numFmtId="0" fontId="0" fillId="0" borderId="50" xfId="0" applyBorder="1"/>
    <xf numFmtId="0" fontId="10" fillId="0" borderId="52" xfId="0" applyFont="1" applyBorder="1" applyAlignment="1">
      <alignment shrinkToFit="1"/>
    </xf>
    <xf numFmtId="0" fontId="0" fillId="0" borderId="5" xfId="0" applyBorder="1"/>
    <xf numFmtId="0" fontId="10" fillId="0" borderId="25" xfId="0" applyFont="1" applyBorder="1"/>
    <xf numFmtId="0" fontId="0" fillId="0" borderId="7" xfId="0" applyBorder="1"/>
    <xf numFmtId="0" fontId="0" fillId="0" borderId="44" xfId="0" applyBorder="1"/>
    <xf numFmtId="0" fontId="10" fillId="2" borderId="43" xfId="0" applyFont="1" applyFill="1" applyBorder="1" applyAlignment="1" applyProtection="1">
      <alignment wrapText="1"/>
      <protection locked="0"/>
    </xf>
    <xf numFmtId="0" fontId="0" fillId="0" borderId="33" xfId="0" applyBorder="1" applyAlignment="1" applyProtection="1">
      <alignment wrapText="1"/>
      <protection locked="0"/>
    </xf>
    <xf numFmtId="0" fontId="0" fillId="0" borderId="34" xfId="0" applyBorder="1" applyAlignment="1" applyProtection="1">
      <alignment wrapText="1"/>
      <protection locked="0"/>
    </xf>
    <xf numFmtId="165" fontId="10" fillId="2" borderId="32" xfId="0" applyNumberFormat="1" applyFont="1" applyFill="1" applyBorder="1" applyAlignment="1" applyProtection="1">
      <alignment horizontal="left" wrapText="1"/>
      <protection locked="0"/>
    </xf>
    <xf numFmtId="165" fontId="10" fillId="2" borderId="7" xfId="0" applyNumberFormat="1" applyFont="1" applyFill="1" applyBorder="1" applyAlignment="1" applyProtection="1">
      <alignment horizontal="left" wrapText="1"/>
      <protection locked="0"/>
    </xf>
    <xf numFmtId="165" fontId="10" fillId="2" borderId="30" xfId="0" applyNumberFormat="1" applyFont="1" applyFill="1" applyBorder="1" applyAlignment="1" applyProtection="1">
      <alignment horizontal="left" wrapText="1"/>
      <protection locked="0"/>
    </xf>
    <xf numFmtId="0" fontId="11" fillId="2" borderId="39" xfId="0" quotePrefix="1" applyFont="1" applyFill="1" applyBorder="1" applyAlignment="1" applyProtection="1">
      <alignment horizontal="left" wrapText="1"/>
      <protection locked="0"/>
    </xf>
    <xf numFmtId="0" fontId="11" fillId="2" borderId="20" xfId="0" quotePrefix="1" applyFont="1" applyFill="1" applyBorder="1" applyAlignment="1" applyProtection="1">
      <alignment horizontal="left" wrapText="1"/>
      <protection locked="0"/>
    </xf>
    <xf numFmtId="0" fontId="11" fillId="2" borderId="21" xfId="0" quotePrefix="1" applyFont="1" applyFill="1" applyBorder="1" applyAlignment="1" applyProtection="1">
      <alignment horizontal="left" wrapText="1"/>
      <protection locked="0"/>
    </xf>
    <xf numFmtId="0" fontId="5" fillId="2" borderId="32" xfId="0" applyFont="1" applyFill="1" applyBorder="1" applyAlignment="1" applyProtection="1">
      <alignment wrapText="1"/>
      <protection locked="0"/>
    </xf>
    <xf numFmtId="0" fontId="0" fillId="0" borderId="7" xfId="0" applyBorder="1" applyAlignment="1" applyProtection="1">
      <alignment wrapText="1"/>
      <protection locked="0"/>
    </xf>
    <xf numFmtId="0" fontId="0" fillId="0" borderId="35" xfId="0" applyBorder="1" applyAlignment="1" applyProtection="1">
      <alignment wrapText="1"/>
      <protection locked="0"/>
    </xf>
    <xf numFmtId="0" fontId="2" fillId="2" borderId="32" xfId="0" applyFont="1" applyFill="1" applyBorder="1" applyAlignment="1" applyProtection="1">
      <alignment wrapText="1"/>
      <protection locked="0"/>
    </xf>
    <xf numFmtId="0" fontId="3" fillId="2" borderId="32" xfId="0" applyFont="1" applyFill="1" applyBorder="1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0" fillId="0" borderId="35" xfId="0" applyBorder="1" applyAlignment="1" applyProtection="1">
      <alignment horizontal="left" wrapText="1"/>
      <protection locked="0"/>
    </xf>
    <xf numFmtId="0" fontId="0" fillId="0" borderId="30" xfId="0" applyBorder="1" applyAlignment="1" applyProtection="1">
      <alignment horizontal="left" wrapText="1"/>
      <protection locked="0"/>
    </xf>
    <xf numFmtId="0" fontId="12" fillId="0" borderId="7" xfId="0" applyFont="1" applyBorder="1" applyAlignment="1">
      <alignment wrapText="1"/>
    </xf>
    <xf numFmtId="0" fontId="7" fillId="0" borderId="25" xfId="0" applyFont="1" applyBorder="1"/>
    <xf numFmtId="0" fontId="0" fillId="0" borderId="35" xfId="0" applyBorder="1"/>
    <xf numFmtId="0" fontId="8" fillId="2" borderId="39" xfId="0" applyFont="1" applyFill="1" applyBorder="1" applyAlignment="1">
      <alignment horizontal="left" wrapText="1"/>
    </xf>
    <xf numFmtId="0" fontId="0" fillId="2" borderId="20" xfId="0" applyFill="1" applyBorder="1" applyAlignment="1">
      <alignment horizontal="left" wrapText="1"/>
    </xf>
    <xf numFmtId="0" fontId="0" fillId="2" borderId="21" xfId="0" applyFill="1" applyBorder="1" applyAlignment="1">
      <alignment horizontal="left" wrapText="1"/>
    </xf>
    <xf numFmtId="0" fontId="8" fillId="2" borderId="32" xfId="0" applyFont="1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35" xfId="0" applyFill="1" applyBorder="1" applyAlignment="1">
      <alignment horizontal="left" wrapText="1"/>
    </xf>
    <xf numFmtId="0" fontId="0" fillId="2" borderId="30" xfId="0" applyFill="1" applyBorder="1" applyAlignment="1">
      <alignment horizontal="left" wrapText="1"/>
    </xf>
    <xf numFmtId="0" fontId="26" fillId="2" borderId="32" xfId="0" applyFont="1" applyFill="1" applyBorder="1" applyAlignment="1">
      <alignment vertical="center" wrapText="1"/>
    </xf>
    <xf numFmtId="0" fontId="27" fillId="0" borderId="7" xfId="0" applyFont="1" applyBorder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0" fontId="26" fillId="2" borderId="66" xfId="0" applyFont="1" applyFill="1" applyBorder="1" applyAlignment="1">
      <alignment horizontal="left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 wrapText="1"/>
    </xf>
    <xf numFmtId="0" fontId="26" fillId="2" borderId="67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26" fillId="2" borderId="56" xfId="0" applyFont="1" applyFill="1" applyBorder="1" applyAlignment="1">
      <alignment horizontal="left" vertical="center" wrapText="1"/>
    </xf>
    <xf numFmtId="0" fontId="26" fillId="2" borderId="68" xfId="0" applyFont="1" applyFill="1" applyBorder="1" applyAlignment="1">
      <alignment horizontal="left" vertical="center" wrapText="1"/>
    </xf>
    <xf numFmtId="0" fontId="26" fillId="2" borderId="64" xfId="0" applyFont="1" applyFill="1" applyBorder="1" applyAlignment="1">
      <alignment horizontal="left" vertical="center" wrapText="1"/>
    </xf>
    <xf numFmtId="0" fontId="26" fillId="2" borderId="62" xfId="0" applyFont="1" applyFill="1" applyBorder="1" applyAlignment="1">
      <alignment horizontal="left" vertical="center" wrapText="1"/>
    </xf>
    <xf numFmtId="165" fontId="28" fillId="2" borderId="32" xfId="0" applyNumberFormat="1" applyFont="1" applyFill="1" applyBorder="1" applyAlignment="1">
      <alignment horizontal="left" wrapText="1"/>
    </xf>
    <xf numFmtId="165" fontId="28" fillId="2" borderId="7" xfId="0" applyNumberFormat="1" applyFont="1" applyFill="1" applyBorder="1" applyAlignment="1">
      <alignment horizontal="left" wrapText="1"/>
    </xf>
    <xf numFmtId="165" fontId="28" fillId="2" borderId="30" xfId="0" applyNumberFormat="1" applyFont="1" applyFill="1" applyBorder="1" applyAlignment="1">
      <alignment horizontal="left" wrapText="1"/>
    </xf>
    <xf numFmtId="0" fontId="28" fillId="2" borderId="43" xfId="0" applyFont="1" applyFill="1" applyBorder="1" applyAlignment="1">
      <alignment wrapText="1"/>
    </xf>
    <xf numFmtId="0" fontId="27" fillId="0" borderId="33" xfId="0" applyFont="1" applyBorder="1" applyAlignment="1">
      <alignment wrapText="1"/>
    </xf>
    <xf numFmtId="0" fontId="27" fillId="0" borderId="34" xfId="0" applyFont="1" applyBorder="1" applyAlignment="1">
      <alignment wrapText="1"/>
    </xf>
    <xf numFmtId="0" fontId="28" fillId="0" borderId="64" xfId="0" applyFont="1" applyBorder="1" applyAlignment="1">
      <alignment horizontal="left" wrapText="1"/>
    </xf>
    <xf numFmtId="0" fontId="28" fillId="0" borderId="65" xfId="0" applyFont="1" applyBorder="1" applyAlignment="1">
      <alignment horizontal="left" wrapText="1"/>
    </xf>
    <xf numFmtId="0" fontId="29" fillId="0" borderId="0" xfId="0" applyFont="1" applyAlignment="1">
      <alignment horizontal="left" wrapText="1"/>
    </xf>
    <xf numFmtId="0" fontId="26" fillId="2" borderId="58" xfId="0" applyFont="1" applyFill="1" applyBorder="1" applyAlignment="1">
      <alignment horizontal="left" vertical="center" wrapText="1"/>
    </xf>
    <xf numFmtId="0" fontId="26" fillId="2" borderId="59" xfId="0" applyFont="1" applyFill="1" applyBorder="1" applyAlignment="1">
      <alignment horizontal="left" vertical="center" wrapText="1"/>
    </xf>
    <xf numFmtId="0" fontId="26" fillId="2" borderId="60" xfId="0" applyFont="1" applyFill="1" applyBorder="1" applyAlignment="1">
      <alignment horizontal="left" vertical="center" wrapText="1"/>
    </xf>
    <xf numFmtId="0" fontId="26" fillId="2" borderId="24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318050</xdr:colOff>
      <xdr:row>2</xdr:row>
      <xdr:rowOff>53424</xdr:rowOff>
    </xdr:from>
    <xdr:to>
      <xdr:col>8</xdr:col>
      <xdr:colOff>876452</xdr:colOff>
      <xdr:row>3</xdr:row>
      <xdr:rowOff>183102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2637" y="53424"/>
          <a:ext cx="1254142" cy="361591"/>
        </a:xfrm>
        <a:prstGeom prst="rect">
          <a:avLst/>
        </a:prstGeom>
      </xdr:spPr>
    </xdr:pic>
    <xdr:clientData/>
  </xdr:twoCellAnchor>
  <xdr:twoCellAnchor editAs="oneCell">
    <xdr:from>
      <xdr:col>7</xdr:col>
      <xdr:colOff>7572</xdr:colOff>
      <xdr:row>11</xdr:row>
      <xdr:rowOff>33131</xdr:rowOff>
    </xdr:from>
    <xdr:to>
      <xdr:col>7</xdr:col>
      <xdr:colOff>148376</xdr:colOff>
      <xdr:row>11</xdr:row>
      <xdr:rowOff>173935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5289" y="2203174"/>
          <a:ext cx="140804" cy="140804"/>
        </a:xfrm>
        <a:prstGeom prst="rect">
          <a:avLst/>
        </a:prstGeom>
      </xdr:spPr>
    </xdr:pic>
    <xdr:clientData/>
  </xdr:twoCellAnchor>
  <xdr:twoCellAnchor editAs="oneCell">
    <xdr:from>
      <xdr:col>4</xdr:col>
      <xdr:colOff>16565</xdr:colOff>
      <xdr:row>15</xdr:row>
      <xdr:rowOff>57980</xdr:rowOff>
    </xdr:from>
    <xdr:to>
      <xdr:col>4</xdr:col>
      <xdr:colOff>156785</xdr:colOff>
      <xdr:row>15</xdr:row>
      <xdr:rowOff>204297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3326" y="2990023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24849</xdr:rowOff>
    </xdr:from>
    <xdr:to>
      <xdr:col>11</xdr:col>
      <xdr:colOff>140220</xdr:colOff>
      <xdr:row>27</xdr:row>
      <xdr:rowOff>171166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5541066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24849</xdr:rowOff>
    </xdr:from>
    <xdr:to>
      <xdr:col>11</xdr:col>
      <xdr:colOff>140220</xdr:colOff>
      <xdr:row>40</xdr:row>
      <xdr:rowOff>171166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8638762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24849</xdr:rowOff>
    </xdr:from>
    <xdr:to>
      <xdr:col>11</xdr:col>
      <xdr:colOff>140220</xdr:colOff>
      <xdr:row>39</xdr:row>
      <xdr:rowOff>171166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8332306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24849</xdr:rowOff>
    </xdr:from>
    <xdr:to>
      <xdr:col>11</xdr:col>
      <xdr:colOff>140220</xdr:colOff>
      <xdr:row>38</xdr:row>
      <xdr:rowOff>171166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8150088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140220</xdr:colOff>
      <xdr:row>38</xdr:row>
      <xdr:rowOff>146317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7967871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24849</xdr:rowOff>
    </xdr:from>
    <xdr:to>
      <xdr:col>11</xdr:col>
      <xdr:colOff>140220</xdr:colOff>
      <xdr:row>37</xdr:row>
      <xdr:rowOff>171166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7785653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16566</xdr:rowOff>
    </xdr:from>
    <xdr:to>
      <xdr:col>11</xdr:col>
      <xdr:colOff>140220</xdr:colOff>
      <xdr:row>36</xdr:row>
      <xdr:rowOff>162883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7595153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24849</xdr:rowOff>
    </xdr:from>
    <xdr:to>
      <xdr:col>11</xdr:col>
      <xdr:colOff>140220</xdr:colOff>
      <xdr:row>35</xdr:row>
      <xdr:rowOff>171166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7280414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24849</xdr:rowOff>
    </xdr:from>
    <xdr:to>
      <xdr:col>11</xdr:col>
      <xdr:colOff>140220</xdr:colOff>
      <xdr:row>34</xdr:row>
      <xdr:rowOff>171166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7098197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24849</xdr:rowOff>
    </xdr:from>
    <xdr:to>
      <xdr:col>11</xdr:col>
      <xdr:colOff>140220</xdr:colOff>
      <xdr:row>33</xdr:row>
      <xdr:rowOff>171166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6775175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24849</xdr:rowOff>
    </xdr:from>
    <xdr:to>
      <xdr:col>11</xdr:col>
      <xdr:colOff>140220</xdr:colOff>
      <xdr:row>32</xdr:row>
      <xdr:rowOff>171166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6592958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24849</xdr:rowOff>
    </xdr:from>
    <xdr:to>
      <xdr:col>11</xdr:col>
      <xdr:colOff>140220</xdr:colOff>
      <xdr:row>31</xdr:row>
      <xdr:rowOff>171166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6410740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24849</xdr:rowOff>
    </xdr:from>
    <xdr:to>
      <xdr:col>11</xdr:col>
      <xdr:colOff>140220</xdr:colOff>
      <xdr:row>30</xdr:row>
      <xdr:rowOff>171166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6228523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24849</xdr:rowOff>
    </xdr:from>
    <xdr:to>
      <xdr:col>11</xdr:col>
      <xdr:colOff>140220</xdr:colOff>
      <xdr:row>29</xdr:row>
      <xdr:rowOff>171166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5905501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24849</xdr:rowOff>
    </xdr:from>
    <xdr:to>
      <xdr:col>11</xdr:col>
      <xdr:colOff>140220</xdr:colOff>
      <xdr:row>28</xdr:row>
      <xdr:rowOff>171166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5109" y="5723284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7</xdr:col>
      <xdr:colOff>7041</xdr:colOff>
      <xdr:row>0</xdr:row>
      <xdr:rowOff>215358</xdr:rowOff>
    </xdr:from>
    <xdr:to>
      <xdr:col>7</xdr:col>
      <xdr:colOff>147262</xdr:colOff>
      <xdr:row>0</xdr:row>
      <xdr:rowOff>361675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3516" y="215358"/>
          <a:ext cx="140221" cy="146317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48</xdr:row>
      <xdr:rowOff>63500</xdr:rowOff>
    </xdr:from>
    <xdr:to>
      <xdr:col>2</xdr:col>
      <xdr:colOff>1257300</xdr:colOff>
      <xdr:row>50</xdr:row>
      <xdr:rowOff>149225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3C47888-D4F2-548E-AD10-6D37E6D2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118600"/>
          <a:ext cx="8382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318050</xdr:colOff>
      <xdr:row>0</xdr:row>
      <xdr:rowOff>53424</xdr:rowOff>
    </xdr:from>
    <xdr:to>
      <xdr:col>8</xdr:col>
      <xdr:colOff>876453</xdr:colOff>
      <xdr:row>1</xdr:row>
      <xdr:rowOff>183102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5950" y="53424"/>
          <a:ext cx="1253728" cy="358278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12</xdr:row>
      <xdr:rowOff>24849</xdr:rowOff>
    </xdr:from>
    <xdr:to>
      <xdr:col>11</xdr:col>
      <xdr:colOff>159270</xdr:colOff>
      <xdr:row>12</xdr:row>
      <xdr:rowOff>171166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210129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13</xdr:row>
      <xdr:rowOff>33132</xdr:rowOff>
    </xdr:from>
    <xdr:to>
      <xdr:col>11</xdr:col>
      <xdr:colOff>159270</xdr:colOff>
      <xdr:row>13</xdr:row>
      <xdr:rowOff>171829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2290557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31888</xdr:colOff>
      <xdr:row>15</xdr:row>
      <xdr:rowOff>24849</xdr:rowOff>
    </xdr:from>
    <xdr:to>
      <xdr:col>11</xdr:col>
      <xdr:colOff>168795</xdr:colOff>
      <xdr:row>15</xdr:row>
      <xdr:rowOff>171166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90638" y="264422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16</xdr:row>
      <xdr:rowOff>24849</xdr:rowOff>
    </xdr:from>
    <xdr:to>
      <xdr:col>11</xdr:col>
      <xdr:colOff>159270</xdr:colOff>
      <xdr:row>16</xdr:row>
      <xdr:rowOff>171166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282519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17</xdr:row>
      <xdr:rowOff>24849</xdr:rowOff>
    </xdr:from>
    <xdr:to>
      <xdr:col>11</xdr:col>
      <xdr:colOff>159270</xdr:colOff>
      <xdr:row>17</xdr:row>
      <xdr:rowOff>171166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300617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12838</xdr:colOff>
      <xdr:row>18</xdr:row>
      <xdr:rowOff>24849</xdr:rowOff>
    </xdr:from>
    <xdr:to>
      <xdr:col>11</xdr:col>
      <xdr:colOff>149745</xdr:colOff>
      <xdr:row>18</xdr:row>
      <xdr:rowOff>171166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71588" y="318714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19</xdr:row>
      <xdr:rowOff>24849</xdr:rowOff>
    </xdr:from>
    <xdr:to>
      <xdr:col>11</xdr:col>
      <xdr:colOff>159270</xdr:colOff>
      <xdr:row>19</xdr:row>
      <xdr:rowOff>171166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336812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20</xdr:row>
      <xdr:rowOff>24849</xdr:rowOff>
    </xdr:from>
    <xdr:to>
      <xdr:col>11</xdr:col>
      <xdr:colOff>159270</xdr:colOff>
      <xdr:row>20</xdr:row>
      <xdr:rowOff>171166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354909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21</xdr:row>
      <xdr:rowOff>24849</xdr:rowOff>
    </xdr:from>
    <xdr:to>
      <xdr:col>11</xdr:col>
      <xdr:colOff>159270</xdr:colOff>
      <xdr:row>21</xdr:row>
      <xdr:rowOff>171166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373007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22</xdr:row>
      <xdr:rowOff>24849</xdr:rowOff>
    </xdr:from>
    <xdr:to>
      <xdr:col>11</xdr:col>
      <xdr:colOff>159270</xdr:colOff>
      <xdr:row>22</xdr:row>
      <xdr:rowOff>171166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391104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23</xdr:row>
      <xdr:rowOff>24849</xdr:rowOff>
    </xdr:from>
    <xdr:to>
      <xdr:col>11</xdr:col>
      <xdr:colOff>159270</xdr:colOff>
      <xdr:row>23</xdr:row>
      <xdr:rowOff>171166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409202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24</xdr:row>
      <xdr:rowOff>24849</xdr:rowOff>
    </xdr:from>
    <xdr:to>
      <xdr:col>11</xdr:col>
      <xdr:colOff>159270</xdr:colOff>
      <xdr:row>24</xdr:row>
      <xdr:rowOff>171166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427299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25</xdr:row>
      <xdr:rowOff>24849</xdr:rowOff>
    </xdr:from>
    <xdr:to>
      <xdr:col>11</xdr:col>
      <xdr:colOff>159270</xdr:colOff>
      <xdr:row>25</xdr:row>
      <xdr:rowOff>171166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445397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26</xdr:row>
      <xdr:rowOff>24849</xdr:rowOff>
    </xdr:from>
    <xdr:to>
      <xdr:col>11</xdr:col>
      <xdr:colOff>159270</xdr:colOff>
      <xdr:row>26</xdr:row>
      <xdr:rowOff>171166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463494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27</xdr:row>
      <xdr:rowOff>24849</xdr:rowOff>
    </xdr:from>
    <xdr:to>
      <xdr:col>11</xdr:col>
      <xdr:colOff>159270</xdr:colOff>
      <xdr:row>27</xdr:row>
      <xdr:rowOff>171166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481592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28</xdr:row>
      <xdr:rowOff>24849</xdr:rowOff>
    </xdr:from>
    <xdr:to>
      <xdr:col>11</xdr:col>
      <xdr:colOff>159270</xdr:colOff>
      <xdr:row>28</xdr:row>
      <xdr:rowOff>171166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499689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29</xdr:row>
      <xdr:rowOff>24849</xdr:rowOff>
    </xdr:from>
    <xdr:to>
      <xdr:col>11</xdr:col>
      <xdr:colOff>159270</xdr:colOff>
      <xdr:row>29</xdr:row>
      <xdr:rowOff>171166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517787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30</xdr:row>
      <xdr:rowOff>24849</xdr:rowOff>
    </xdr:from>
    <xdr:to>
      <xdr:col>11</xdr:col>
      <xdr:colOff>159270</xdr:colOff>
      <xdr:row>30</xdr:row>
      <xdr:rowOff>171166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535884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31</xdr:row>
      <xdr:rowOff>24849</xdr:rowOff>
    </xdr:from>
    <xdr:to>
      <xdr:col>11</xdr:col>
      <xdr:colOff>159270</xdr:colOff>
      <xdr:row>31</xdr:row>
      <xdr:rowOff>171166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553982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32</xdr:row>
      <xdr:rowOff>24849</xdr:rowOff>
    </xdr:from>
    <xdr:to>
      <xdr:col>11</xdr:col>
      <xdr:colOff>159270</xdr:colOff>
      <xdr:row>32</xdr:row>
      <xdr:rowOff>171166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572079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33</xdr:row>
      <xdr:rowOff>24849</xdr:rowOff>
    </xdr:from>
    <xdr:to>
      <xdr:col>11</xdr:col>
      <xdr:colOff>159270</xdr:colOff>
      <xdr:row>33</xdr:row>
      <xdr:rowOff>171166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590177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34</xdr:row>
      <xdr:rowOff>24849</xdr:rowOff>
    </xdr:from>
    <xdr:to>
      <xdr:col>11</xdr:col>
      <xdr:colOff>159270</xdr:colOff>
      <xdr:row>34</xdr:row>
      <xdr:rowOff>171166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608274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35</xdr:row>
      <xdr:rowOff>24849</xdr:rowOff>
    </xdr:from>
    <xdr:to>
      <xdr:col>11</xdr:col>
      <xdr:colOff>159270</xdr:colOff>
      <xdr:row>35</xdr:row>
      <xdr:rowOff>171166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626372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36</xdr:row>
      <xdr:rowOff>24849</xdr:rowOff>
    </xdr:from>
    <xdr:to>
      <xdr:col>11</xdr:col>
      <xdr:colOff>159270</xdr:colOff>
      <xdr:row>36</xdr:row>
      <xdr:rowOff>171166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644469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37</xdr:row>
      <xdr:rowOff>24849</xdr:rowOff>
    </xdr:from>
    <xdr:to>
      <xdr:col>11</xdr:col>
      <xdr:colOff>159270</xdr:colOff>
      <xdr:row>37</xdr:row>
      <xdr:rowOff>171166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662567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38</xdr:row>
      <xdr:rowOff>24849</xdr:rowOff>
    </xdr:from>
    <xdr:to>
      <xdr:col>11</xdr:col>
      <xdr:colOff>159270</xdr:colOff>
      <xdr:row>38</xdr:row>
      <xdr:rowOff>171166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680664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39</xdr:row>
      <xdr:rowOff>24849</xdr:rowOff>
    </xdr:from>
    <xdr:to>
      <xdr:col>11</xdr:col>
      <xdr:colOff>159270</xdr:colOff>
      <xdr:row>39</xdr:row>
      <xdr:rowOff>171166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698762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40</xdr:row>
      <xdr:rowOff>24849</xdr:rowOff>
    </xdr:from>
    <xdr:to>
      <xdr:col>11</xdr:col>
      <xdr:colOff>159270</xdr:colOff>
      <xdr:row>40</xdr:row>
      <xdr:rowOff>171166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716859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41</xdr:row>
      <xdr:rowOff>24849</xdr:rowOff>
    </xdr:from>
    <xdr:to>
      <xdr:col>11</xdr:col>
      <xdr:colOff>159270</xdr:colOff>
      <xdr:row>41</xdr:row>
      <xdr:rowOff>171166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734957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42</xdr:row>
      <xdr:rowOff>24849</xdr:rowOff>
    </xdr:from>
    <xdr:to>
      <xdr:col>11</xdr:col>
      <xdr:colOff>159270</xdr:colOff>
      <xdr:row>42</xdr:row>
      <xdr:rowOff>171166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753054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43</xdr:row>
      <xdr:rowOff>24849</xdr:rowOff>
    </xdr:from>
    <xdr:to>
      <xdr:col>11</xdr:col>
      <xdr:colOff>159270</xdr:colOff>
      <xdr:row>43</xdr:row>
      <xdr:rowOff>171166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771152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44</xdr:row>
      <xdr:rowOff>24849</xdr:rowOff>
    </xdr:from>
    <xdr:to>
      <xdr:col>11</xdr:col>
      <xdr:colOff>159270</xdr:colOff>
      <xdr:row>44</xdr:row>
      <xdr:rowOff>171166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789249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45</xdr:row>
      <xdr:rowOff>24849</xdr:rowOff>
    </xdr:from>
    <xdr:to>
      <xdr:col>11</xdr:col>
      <xdr:colOff>159270</xdr:colOff>
      <xdr:row>45</xdr:row>
      <xdr:rowOff>171166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8073474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22363</xdr:colOff>
      <xdr:row>46</xdr:row>
      <xdr:rowOff>24849</xdr:rowOff>
    </xdr:from>
    <xdr:to>
      <xdr:col>11</xdr:col>
      <xdr:colOff>159270</xdr:colOff>
      <xdr:row>46</xdr:row>
      <xdr:rowOff>171166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1113" y="8254449"/>
          <a:ext cx="136907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31888</xdr:colOff>
      <xdr:row>14</xdr:row>
      <xdr:rowOff>24849</xdr:rowOff>
    </xdr:from>
    <xdr:to>
      <xdr:col>11</xdr:col>
      <xdr:colOff>168795</xdr:colOff>
      <xdr:row>14</xdr:row>
      <xdr:rowOff>171166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90638" y="2463249"/>
          <a:ext cx="136907" cy="1463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318050</xdr:colOff>
      <xdr:row>2</xdr:row>
      <xdr:rowOff>53424</xdr:rowOff>
    </xdr:from>
    <xdr:to>
      <xdr:col>8</xdr:col>
      <xdr:colOff>876452</xdr:colOff>
      <xdr:row>3</xdr:row>
      <xdr:rowOff>183102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6150" y="542374"/>
          <a:ext cx="1288652" cy="351928"/>
        </a:xfrm>
        <a:prstGeom prst="rect">
          <a:avLst/>
        </a:prstGeom>
      </xdr:spPr>
    </xdr:pic>
    <xdr:clientData/>
  </xdr:twoCellAnchor>
  <xdr:twoCellAnchor editAs="oneCell">
    <xdr:from>
      <xdr:col>7</xdr:col>
      <xdr:colOff>7572</xdr:colOff>
      <xdr:row>11</xdr:row>
      <xdr:rowOff>33131</xdr:rowOff>
    </xdr:from>
    <xdr:to>
      <xdr:col>7</xdr:col>
      <xdr:colOff>148376</xdr:colOff>
      <xdr:row>11</xdr:row>
      <xdr:rowOff>173935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5672" y="2376281"/>
          <a:ext cx="140804" cy="140804"/>
        </a:xfrm>
        <a:prstGeom prst="rect">
          <a:avLst/>
        </a:prstGeom>
      </xdr:spPr>
    </xdr:pic>
    <xdr:clientData/>
  </xdr:twoCellAnchor>
  <xdr:twoCellAnchor editAs="oneCell">
    <xdr:from>
      <xdr:col>4</xdr:col>
      <xdr:colOff>16565</xdr:colOff>
      <xdr:row>15</xdr:row>
      <xdr:rowOff>57980</xdr:rowOff>
    </xdr:from>
    <xdr:to>
      <xdr:col>4</xdr:col>
      <xdr:colOff>156785</xdr:colOff>
      <xdr:row>15</xdr:row>
      <xdr:rowOff>204297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2815" y="3080580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24849</xdr:rowOff>
    </xdr:from>
    <xdr:to>
      <xdr:col>11</xdr:col>
      <xdr:colOff>140220</xdr:colOff>
      <xdr:row>27</xdr:row>
      <xdr:rowOff>171166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54985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24849</xdr:rowOff>
    </xdr:from>
    <xdr:to>
      <xdr:col>11</xdr:col>
      <xdr:colOff>140220</xdr:colOff>
      <xdr:row>40</xdr:row>
      <xdr:rowOff>171166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78099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24849</xdr:rowOff>
    </xdr:from>
    <xdr:to>
      <xdr:col>11</xdr:col>
      <xdr:colOff>140220</xdr:colOff>
      <xdr:row>39</xdr:row>
      <xdr:rowOff>171166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76321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24849</xdr:rowOff>
    </xdr:from>
    <xdr:to>
      <xdr:col>11</xdr:col>
      <xdr:colOff>140220</xdr:colOff>
      <xdr:row>38</xdr:row>
      <xdr:rowOff>171166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74543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140220</xdr:colOff>
      <xdr:row>38</xdr:row>
      <xdr:rowOff>146317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7429500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24849</xdr:rowOff>
    </xdr:from>
    <xdr:to>
      <xdr:col>11</xdr:col>
      <xdr:colOff>140220</xdr:colOff>
      <xdr:row>37</xdr:row>
      <xdr:rowOff>171166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72765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16566</xdr:rowOff>
    </xdr:from>
    <xdr:to>
      <xdr:col>11</xdr:col>
      <xdr:colOff>140220</xdr:colOff>
      <xdr:row>36</xdr:row>
      <xdr:rowOff>162883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7090466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24849</xdr:rowOff>
    </xdr:from>
    <xdr:to>
      <xdr:col>11</xdr:col>
      <xdr:colOff>140220</xdr:colOff>
      <xdr:row>35</xdr:row>
      <xdr:rowOff>171166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69209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24849</xdr:rowOff>
    </xdr:from>
    <xdr:to>
      <xdr:col>11</xdr:col>
      <xdr:colOff>140220</xdr:colOff>
      <xdr:row>34</xdr:row>
      <xdr:rowOff>171166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67431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24849</xdr:rowOff>
    </xdr:from>
    <xdr:to>
      <xdr:col>11</xdr:col>
      <xdr:colOff>140220</xdr:colOff>
      <xdr:row>33</xdr:row>
      <xdr:rowOff>171166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65653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24849</xdr:rowOff>
    </xdr:from>
    <xdr:to>
      <xdr:col>11</xdr:col>
      <xdr:colOff>140220</xdr:colOff>
      <xdr:row>32</xdr:row>
      <xdr:rowOff>171166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63875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24849</xdr:rowOff>
    </xdr:from>
    <xdr:to>
      <xdr:col>11</xdr:col>
      <xdr:colOff>140220</xdr:colOff>
      <xdr:row>31</xdr:row>
      <xdr:rowOff>171166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62097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24849</xdr:rowOff>
    </xdr:from>
    <xdr:to>
      <xdr:col>11</xdr:col>
      <xdr:colOff>140220</xdr:colOff>
      <xdr:row>30</xdr:row>
      <xdr:rowOff>171166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60319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24849</xdr:rowOff>
    </xdr:from>
    <xdr:to>
      <xdr:col>11</xdr:col>
      <xdr:colOff>140220</xdr:colOff>
      <xdr:row>29</xdr:row>
      <xdr:rowOff>171166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58541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24849</xdr:rowOff>
    </xdr:from>
    <xdr:to>
      <xdr:col>11</xdr:col>
      <xdr:colOff>140220</xdr:colOff>
      <xdr:row>28</xdr:row>
      <xdr:rowOff>171166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84250" y="5676349"/>
          <a:ext cx="140220" cy="146317"/>
        </a:xfrm>
        <a:prstGeom prst="rect">
          <a:avLst/>
        </a:prstGeom>
      </xdr:spPr>
    </xdr:pic>
    <xdr:clientData/>
  </xdr:twoCellAnchor>
  <xdr:twoCellAnchor editAs="oneCell">
    <xdr:from>
      <xdr:col>7</xdr:col>
      <xdr:colOff>7041</xdr:colOff>
      <xdr:row>0</xdr:row>
      <xdr:rowOff>215358</xdr:rowOff>
    </xdr:from>
    <xdr:to>
      <xdr:col>7</xdr:col>
      <xdr:colOff>147262</xdr:colOff>
      <xdr:row>0</xdr:row>
      <xdr:rowOff>361675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95141" y="215358"/>
          <a:ext cx="140221" cy="146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2"/>
  <sheetViews>
    <sheetView tabSelected="1" zoomScaleNormal="100" workbookViewId="0">
      <selection activeCell="C28" sqref="C28"/>
    </sheetView>
  </sheetViews>
  <sheetFormatPr defaultColWidth="9.1796875" defaultRowHeight="14" x14ac:dyDescent="0.3"/>
  <cols>
    <col min="1" max="1" width="3.81640625" style="1" customWidth="1"/>
    <col min="2" max="2" width="10.54296875" style="1" customWidth="1"/>
    <col min="3" max="3" width="38.26953125" style="1" customWidth="1"/>
    <col min="4" max="4" width="8.7265625" style="1" bestFit="1" customWidth="1"/>
    <col min="5" max="5" width="8.1796875" style="1" customWidth="1"/>
    <col min="6" max="6" width="8.1796875" style="2" customWidth="1"/>
    <col min="7" max="7" width="13.7265625" style="6" customWidth="1"/>
    <col min="8" max="8" width="10.453125" style="6" customWidth="1"/>
    <col min="9" max="9" width="13.26953125" style="6" customWidth="1"/>
    <col min="10" max="10" width="3.1796875" style="6" customWidth="1"/>
    <col min="11" max="11" width="77.54296875" style="1" customWidth="1"/>
    <col min="12" max="16384" width="9.1796875" style="1"/>
  </cols>
  <sheetData>
    <row r="1" spans="1:11" s="97" customFormat="1" ht="29.25" customHeight="1" x14ac:dyDescent="0.35">
      <c r="A1" s="108" t="s">
        <v>135</v>
      </c>
      <c r="B1" s="109"/>
      <c r="C1" s="109"/>
      <c r="D1" s="109"/>
      <c r="E1" s="109"/>
      <c r="F1" s="110"/>
      <c r="G1" s="112" t="s">
        <v>62</v>
      </c>
      <c r="H1" s="111"/>
      <c r="I1" s="111"/>
      <c r="J1" s="98"/>
    </row>
    <row r="2" spans="1:11" s="61" customFormat="1" ht="9.75" customHeight="1" x14ac:dyDescent="0.4">
      <c r="A2" s="60"/>
      <c r="F2" s="62"/>
      <c r="G2" s="63"/>
      <c r="H2" s="63"/>
      <c r="I2" s="63"/>
      <c r="J2" s="63"/>
    </row>
    <row r="3" spans="1:11" s="61" customFormat="1" ht="17.5" x14ac:dyDescent="0.35">
      <c r="F3" s="62"/>
      <c r="G3" s="63"/>
      <c r="H3" s="63"/>
      <c r="I3" s="63"/>
      <c r="J3" s="63"/>
    </row>
    <row r="4" spans="1:11" s="61" customFormat="1" ht="18" x14ac:dyDescent="0.4">
      <c r="A4" s="60" t="str">
        <f>IF($G$1="Deutsch",Codes!$A37,Codes!$B37)</f>
        <v>BILL OF EXPENSES  - FIXED ALLOWANCES</v>
      </c>
      <c r="F4" s="62"/>
      <c r="G4" s="63"/>
      <c r="H4" s="63"/>
      <c r="I4" s="63"/>
      <c r="J4" s="63"/>
    </row>
    <row r="5" spans="1:11" s="61" customFormat="1" ht="18.5" thickBot="1" x14ac:dyDescent="0.45">
      <c r="A5" s="60"/>
      <c r="F5" s="62"/>
      <c r="G5" s="63"/>
      <c r="H5" s="63"/>
      <c r="I5" s="63"/>
      <c r="J5" s="63"/>
    </row>
    <row r="6" spans="1:11" ht="19.5" customHeight="1" x14ac:dyDescent="0.3">
      <c r="A6" s="66" t="str">
        <f>IF($G$1="Deutsch",Codes!$A38,Codes!$B38)</f>
        <v>Documentnr.</v>
      </c>
      <c r="B6" s="64"/>
      <c r="C6" s="226"/>
      <c r="D6" s="227"/>
      <c r="E6" s="227"/>
      <c r="F6" s="227"/>
      <c r="G6" s="227"/>
      <c r="H6" s="227"/>
      <c r="I6" s="228"/>
    </row>
    <row r="7" spans="1:11" ht="14.5" x14ac:dyDescent="0.35">
      <c r="A7" s="25" t="str">
        <f>IF($G$1="Deutsch",Codes!$A40,Codes!$B40)</f>
        <v>First name</v>
      </c>
      <c r="B7" s="4"/>
      <c r="C7" s="229" t="s">
        <v>161</v>
      </c>
      <c r="D7" s="230"/>
      <c r="E7" s="230"/>
      <c r="F7" s="231"/>
      <c r="H7" s="67" t="str">
        <f>IF($G$1="Deutsch",Codes!$A47,Codes!$B47)</f>
        <v>Valuta (dd.mm.yyyy)</v>
      </c>
      <c r="I7" s="137">
        <v>45980</v>
      </c>
    </row>
    <row r="8" spans="1:11" ht="14.5" x14ac:dyDescent="0.35">
      <c r="A8" s="25" t="str">
        <f>IF($G$1="Deutsch",Codes!$A39,Codes!$B39)</f>
        <v>Last name</v>
      </c>
      <c r="B8" s="4"/>
      <c r="C8" s="229" t="s">
        <v>162</v>
      </c>
      <c r="D8" s="230"/>
      <c r="E8" s="230"/>
      <c r="F8" s="231"/>
      <c r="H8" s="7" t="str">
        <f>IF($G$1="Deutsch",Codes!$A88,Codes!$B88)</f>
        <v>Finalised by</v>
      </c>
      <c r="I8" s="139"/>
    </row>
    <row r="9" spans="1:11" ht="14.5" x14ac:dyDescent="0.35">
      <c r="A9" s="25" t="str">
        <f>IF($G$1="Deutsch",Codes!$A41,Codes!$B41)</f>
        <v>Address</v>
      </c>
      <c r="B9" s="4"/>
      <c r="C9" s="232" t="s">
        <v>168</v>
      </c>
      <c r="D9" s="230"/>
      <c r="E9" s="230"/>
      <c r="F9" s="231"/>
      <c r="H9" s="7"/>
      <c r="I9" s="68"/>
    </row>
    <row r="10" spans="1:11" ht="14.5" x14ac:dyDescent="0.35">
      <c r="A10" s="25" t="str">
        <f>IF($G$1="Deutsch",Codes!$A42,Codes!$B42)</f>
        <v>ZIP/Place</v>
      </c>
      <c r="B10" s="4"/>
      <c r="C10" s="233" t="s">
        <v>166</v>
      </c>
      <c r="D10" s="234"/>
      <c r="E10" s="234"/>
      <c r="F10" s="235"/>
      <c r="H10" s="7"/>
      <c r="I10" s="68"/>
    </row>
    <row r="11" spans="1:11" ht="14.5" x14ac:dyDescent="0.35">
      <c r="A11" s="25" t="str">
        <f>IF($G$1="Deutsch",Codes!$A43,Codes!$B43)</f>
        <v>Mission/Purpose</v>
      </c>
      <c r="B11" s="4"/>
      <c r="C11" s="272" t="s">
        <v>169</v>
      </c>
      <c r="D11" s="234"/>
      <c r="E11" s="234"/>
      <c r="F11" s="234"/>
      <c r="G11" s="234"/>
      <c r="H11" s="234"/>
      <c r="I11" s="236"/>
    </row>
    <row r="12" spans="1:11" ht="18" x14ac:dyDescent="0.4">
      <c r="A12" s="25" t="str">
        <f>IF($G$1="Deutsch",Codes!$A44,Codes!$B44)</f>
        <v>Cost centre</v>
      </c>
      <c r="B12" s="4"/>
      <c r="C12" s="160">
        <v>4545</v>
      </c>
      <c r="F12" s="7" t="str">
        <f>IF($G$1="Deutsch",Codes!$A48,Codes!$B48)</f>
        <v>Currency (for payment)</v>
      </c>
      <c r="G12" s="161" t="s">
        <v>20</v>
      </c>
      <c r="H12" s="1"/>
      <c r="I12" s="35"/>
    </row>
    <row r="13" spans="1:11" s="4" customFormat="1" x14ac:dyDescent="0.3">
      <c r="A13" s="25" t="str">
        <f>IF($G$1="Deutsch",Codes!$A45,Codes!$B45)</f>
        <v>From (date)</v>
      </c>
      <c r="C13" s="69">
        <v>45970</v>
      </c>
      <c r="D13" s="1"/>
      <c r="E13" s="1"/>
      <c r="F13" s="7" t="str">
        <f>IF($G$1="Deutsch",Codes!$A49,Codes!$B49)</f>
        <v>To (date)</v>
      </c>
      <c r="G13" s="223">
        <v>45974</v>
      </c>
      <c r="H13" s="224"/>
      <c r="I13" s="225"/>
      <c r="J13" s="5"/>
      <c r="K13" s="5"/>
    </row>
    <row r="14" spans="1:11" s="4" customFormat="1" ht="15" thickBot="1" x14ac:dyDescent="0.4">
      <c r="A14" s="27" t="str">
        <f>IF($G$1="Deutsch",Codes!$A46,Codes!$B46)</f>
        <v xml:space="preserve">Place </v>
      </c>
      <c r="B14" s="28"/>
      <c r="C14" s="82" t="s">
        <v>170</v>
      </c>
      <c r="D14" s="28"/>
      <c r="E14" s="28"/>
      <c r="F14" s="90" t="str">
        <f>IF($G$1="Deutsch",Codes!$A50,Codes!$B50)</f>
        <v>Country</v>
      </c>
      <c r="G14" s="220" t="s">
        <v>171</v>
      </c>
      <c r="H14" s="221"/>
      <c r="I14" s="222"/>
      <c r="J14" s="6"/>
    </row>
    <row r="15" spans="1:11" s="4" customFormat="1" ht="6.75" customHeight="1" thickBot="1" x14ac:dyDescent="0.35">
      <c r="C15" s="5"/>
      <c r="D15" s="5"/>
      <c r="E15" s="5"/>
      <c r="F15" s="3"/>
      <c r="G15" s="7"/>
      <c r="H15" s="7"/>
      <c r="I15" s="7"/>
      <c r="J15" s="6"/>
      <c r="K15" s="5"/>
    </row>
    <row r="16" spans="1:11" s="4" customFormat="1" ht="17.25" customHeight="1" x14ac:dyDescent="0.3">
      <c r="A16" s="15" t="str">
        <f>IF($G$1="Deutsch",Codes!$A51,Codes!$B51)</f>
        <v>FIXED ALLOWANCES</v>
      </c>
      <c r="B16" s="21"/>
      <c r="C16" s="22"/>
      <c r="D16" s="83" t="s">
        <v>71</v>
      </c>
      <c r="E16" s="76" t="str">
        <f>IF($G$1="Deutsch",Codes!$A52,Codes!$B52)</f>
        <v xml:space="preserve">      Applicable (please select YES or NO)</v>
      </c>
      <c r="F16" s="23"/>
      <c r="G16" s="23"/>
      <c r="H16" s="23"/>
      <c r="I16" s="24"/>
      <c r="J16" s="6"/>
      <c r="K16" s="5"/>
    </row>
    <row r="17" spans="1:11" s="4" customFormat="1" x14ac:dyDescent="0.3">
      <c r="A17" s="25" t="str">
        <f>IF($G$1="Deutsch",Codes!$A53,Codes!$B53)</f>
        <v>Lump sum per day</v>
      </c>
      <c r="C17" s="5"/>
      <c r="D17" s="5"/>
      <c r="E17" s="5"/>
      <c r="F17" s="3"/>
      <c r="G17" s="7"/>
      <c r="H17" s="7"/>
      <c r="I17" s="13"/>
      <c r="J17" s="6"/>
      <c r="K17" s="5"/>
    </row>
    <row r="18" spans="1:11" s="4" customFormat="1" ht="14.5" x14ac:dyDescent="0.35">
      <c r="A18" s="238" t="str">
        <f>IF($G$1="Deutsch",Codes!$A54,Codes!$B54)</f>
        <v>Disbursement</v>
      </c>
      <c r="B18" s="218" t="str">
        <f>IF($G$1="Deutsch",Codes!$A54,Codes!$B54)</f>
        <v>Disbursement</v>
      </c>
      <c r="C18" s="218" t="str">
        <f>IF($G$1="Deutsch",Codes!$A54,Codes!$B54)</f>
        <v>Disbursement</v>
      </c>
      <c r="D18" s="218" t="str">
        <f>IF($G$1="Deutsch",Codes!$A54,Codes!$B54)</f>
        <v>Disbursement</v>
      </c>
      <c r="E18" s="239" t="str">
        <f>IF($G$1="Deutsch",Codes!$A54,Codes!$B54)</f>
        <v>Disbursement</v>
      </c>
      <c r="F18" s="32" t="str">
        <f>IF($G$1="Deutsch",Codes!$A55,Codes!$B55)</f>
        <v>Quantity</v>
      </c>
      <c r="G18" s="32" t="str">
        <f>IF($G$1="Deutsch",Codes!$A56,Codes!$B56)</f>
        <v>Budget line</v>
      </c>
      <c r="H18" s="33" t="str">
        <f>IF($G$1="Deutsch",Codes!$A57,Codes!$B57)</f>
        <v>Amount</v>
      </c>
      <c r="I18" s="34" t="str">
        <f>IF($G$1="Deutsch",Codes!$A58,Codes!$B58)</f>
        <v>Amount CHF</v>
      </c>
      <c r="J18" s="6"/>
    </row>
    <row r="19" spans="1:11" s="4" customFormat="1" ht="24.75" customHeight="1" x14ac:dyDescent="0.35">
      <c r="A19" s="217" t="str">
        <f>IF($G$1="Deutsch",Codes!$A59,Codes!$B59)</f>
        <v>Breakfast</v>
      </c>
      <c r="B19" s="218" t="str">
        <f>IF($G$1="Deutsch",Codes!$A55,Codes!$B55)</f>
        <v>Quantity</v>
      </c>
      <c r="C19" s="237" t="str">
        <f>IF($G$1="Deutsch",Codes!$A62,Codes!$B62)</f>
        <v>If departures is before 7.30 am or respectively with overnight stay (only in case breakfast is not included)</v>
      </c>
      <c r="D19" s="218"/>
      <c r="E19" s="219"/>
      <c r="F19" s="70"/>
      <c r="G19" s="72"/>
      <c r="H19" s="9">
        <v>10</v>
      </c>
      <c r="I19" s="26">
        <f>IF(D$16="NO",0,IF(D$16="NEIN",0,+F19*H19))</f>
        <v>0</v>
      </c>
      <c r="J19" s="6"/>
    </row>
    <row r="20" spans="1:11" s="4" customFormat="1" ht="14.5" x14ac:dyDescent="0.35">
      <c r="A20" s="217" t="str">
        <f>IF($G$1="Deutsch",Codes!$A60,Codes!$B60)</f>
        <v>Lunch</v>
      </c>
      <c r="B20" s="218" t="str">
        <f>IF($G$1="Deutsch",Codes!$A56,Codes!$B56)</f>
        <v>Budget line</v>
      </c>
      <c r="C20" s="237"/>
      <c r="D20" s="218"/>
      <c r="E20" s="219"/>
      <c r="F20" s="70"/>
      <c r="G20" s="72"/>
      <c r="H20" s="9">
        <v>25</v>
      </c>
      <c r="I20" s="26">
        <f t="shared" ref="I20:I22" si="0">IF(D$16="NO",0,IF(D$16="NEIN",0,+F20*H20))</f>
        <v>0</v>
      </c>
      <c r="J20" s="6"/>
    </row>
    <row r="21" spans="1:11" s="4" customFormat="1" ht="14.5" x14ac:dyDescent="0.35">
      <c r="A21" s="217" t="str">
        <f>IF($G$1="Deutsch",Codes!$A61,Codes!$B61)</f>
        <v>Dinner</v>
      </c>
      <c r="B21" s="218" t="str">
        <f>IF($G$1="Deutsch",Codes!$A57,Codes!$B57)</f>
        <v>Amount</v>
      </c>
      <c r="C21" s="237" t="str">
        <f>IF($G$1="Deutsch",Codes!$A63,Codes!$B63)</f>
        <v>In case of external overnight stay or return after 7.30 pm</v>
      </c>
      <c r="D21" s="218"/>
      <c r="E21" s="219"/>
      <c r="F21" s="70"/>
      <c r="G21" s="72"/>
      <c r="H21" s="9">
        <v>25</v>
      </c>
      <c r="I21" s="26">
        <f t="shared" si="0"/>
        <v>0</v>
      </c>
      <c r="J21" s="6"/>
    </row>
    <row r="22" spans="1:11" s="4" customFormat="1" ht="14.5" x14ac:dyDescent="0.35">
      <c r="A22" s="217" t="str">
        <f>IF($G$1="Deutsch",Codes!$A64,Codes!$B64)</f>
        <v>Private petty expenses for mission abroad</v>
      </c>
      <c r="B22" s="218"/>
      <c r="C22" s="218"/>
      <c r="D22" s="218"/>
      <c r="E22" s="219"/>
      <c r="F22" s="70"/>
      <c r="G22" s="72"/>
      <c r="H22" s="9">
        <v>5</v>
      </c>
      <c r="I22" s="26">
        <f t="shared" si="0"/>
        <v>0</v>
      </c>
      <c r="J22" s="6"/>
    </row>
    <row r="23" spans="1:11" s="4" customFormat="1" ht="14.5" thickBot="1" x14ac:dyDescent="0.35">
      <c r="A23" s="36" t="str">
        <f>IF($G$1="Deutsch",Codes!$A65,Codes!$B65)</f>
        <v>TOTAL FIXED ALLOWANCES</v>
      </c>
      <c r="B23" s="37"/>
      <c r="C23" s="38"/>
      <c r="D23" s="38"/>
      <c r="E23" s="38"/>
      <c r="F23" s="39"/>
      <c r="G23" s="40"/>
      <c r="H23" s="41"/>
      <c r="I23" s="42">
        <f>SUM(I19:I22)</f>
        <v>0</v>
      </c>
      <c r="J23" s="6"/>
      <c r="K23" s="5"/>
    </row>
    <row r="24" spans="1:11" s="4" customFormat="1" ht="27" customHeight="1" thickBot="1" x14ac:dyDescent="0.35">
      <c r="A24" s="86"/>
      <c r="B24" s="87"/>
      <c r="C24" s="87"/>
      <c r="D24" s="87"/>
      <c r="E24" s="88"/>
      <c r="F24" s="88" t="str">
        <f>IF($G$1="Deutsch",Codes!$A66,Codes!$B66)</f>
        <v>Exchange rate (filled in by Accounting)</v>
      </c>
      <c r="G24" s="96" t="str">
        <f>IF(G12="CHF",1," ")</f>
        <v xml:space="preserve"> </v>
      </c>
      <c r="H24" s="91" t="str">
        <f>+G12</f>
        <v>USD</v>
      </c>
      <c r="I24" s="89" t="str">
        <f>IF(G12="CHF",I23," ")</f>
        <v xml:space="preserve"> </v>
      </c>
      <c r="J24" s="6"/>
      <c r="K24" s="5"/>
    </row>
    <row r="25" spans="1:11" s="4" customFormat="1" ht="9.75" customHeight="1" thickBot="1" x14ac:dyDescent="0.35">
      <c r="A25" s="10"/>
      <c r="B25" s="10"/>
      <c r="C25" s="43"/>
      <c r="D25" s="43"/>
      <c r="E25" s="43"/>
      <c r="F25" s="44"/>
      <c r="G25" s="45"/>
      <c r="H25" s="46"/>
      <c r="I25" s="46"/>
      <c r="J25" s="6"/>
      <c r="K25" s="5"/>
    </row>
    <row r="26" spans="1:11" ht="14.5" thickBot="1" x14ac:dyDescent="0.35">
      <c r="A26" s="15" t="str">
        <f>IF($G$1="Deutsch",Codes!$A67,Codes!$B67)</f>
        <v>EXPENSES</v>
      </c>
      <c r="B26" s="16"/>
      <c r="C26" s="16"/>
      <c r="D26" s="16"/>
      <c r="E26" s="16"/>
      <c r="F26" s="17"/>
      <c r="G26" s="11"/>
      <c r="H26" s="11"/>
      <c r="I26" s="12"/>
    </row>
    <row r="27" spans="1:11" s="10" customFormat="1" x14ac:dyDescent="0.3">
      <c r="A27" s="30" t="str">
        <f>IF($G$1="Deutsch",Codes!$A68,Codes!$B68)</f>
        <v>No</v>
      </c>
      <c r="B27" s="31" t="str">
        <f>IF($G$1="Deutsch",Codes!$A69,Codes!$B69)</f>
        <v>Date</v>
      </c>
      <c r="C27" s="31" t="str">
        <f>IF($G$1="Deutsch",Codes!$A70,Codes!$B70)</f>
        <v>Disbursement</v>
      </c>
      <c r="D27" s="33" t="str">
        <f>IF($G$1="Deutsch",Codes!$A71,Codes!$B71)</f>
        <v>Acc.code</v>
      </c>
      <c r="E27" s="101" t="str">
        <f>IF($G$1="Deutsch",Codes!$A56,Codes!$B56)</f>
        <v>Budget line</v>
      </c>
      <c r="F27" s="32" t="str">
        <f>IF($G$1="Deutsch",Codes!$A72,Codes!$B72)</f>
        <v>Currency</v>
      </c>
      <c r="G27" s="113" t="str">
        <f>IF($G$1="Deutsch",Codes!$A73,Codes!$B73)</f>
        <v>Amount</v>
      </c>
      <c r="H27" s="113" t="str">
        <f>IF($G$1="Deutsch",Codes!$A74,Codes!$B74)</f>
        <v>Rate</v>
      </c>
      <c r="I27" s="114" t="str">
        <f>IF($G$1="Deutsch",CONCATENATE(Codes!$A75," ",G$12),CONCATENATE(Codes!$B75," ",G$12))</f>
        <v>Amount  USD</v>
      </c>
      <c r="J27" s="6"/>
      <c r="K27" s="14" t="str">
        <f>IF($G$1="Deutsch",Codes!$A76,Codes!$B76)</f>
        <v>Account</v>
      </c>
    </row>
    <row r="28" spans="1:11" s="4" customFormat="1" x14ac:dyDescent="0.3">
      <c r="A28" s="18">
        <v>1</v>
      </c>
      <c r="B28" s="84">
        <v>45936</v>
      </c>
      <c r="C28" s="72" t="s">
        <v>173</v>
      </c>
      <c r="D28" s="8">
        <f>IF(ISNA(VLOOKUP(K28,Codes!A$3:B$19,2,FALSE))=TRUE,0,VLOOKUP(K28,Codes!A$3:B$19,2,FALSE))</f>
        <v>550080</v>
      </c>
      <c r="E28" s="72"/>
      <c r="F28" s="74" t="s">
        <v>172</v>
      </c>
      <c r="G28" s="103">
        <v>185</v>
      </c>
      <c r="H28" s="102">
        <f>IF(F28=$H$24,1,0)</f>
        <v>0</v>
      </c>
      <c r="I28" s="105">
        <f>IF(H28&lt;&gt;0,INT(20*(+G28*H28)+0.5)/20,0)</f>
        <v>0</v>
      </c>
      <c r="J28" s="6"/>
      <c r="K28" s="75" t="s">
        <v>134</v>
      </c>
    </row>
    <row r="29" spans="1:11" s="4" customFormat="1" x14ac:dyDescent="0.3">
      <c r="A29" s="18">
        <v>2</v>
      </c>
      <c r="B29" s="84"/>
      <c r="C29" s="72"/>
      <c r="D29" s="8">
        <f>IF(ISNA(VLOOKUP(K29,Codes!A$3:B$19,2,FALSE))=TRUE,0,VLOOKUP(K29,Codes!A$3:B$19,2,FALSE))</f>
        <v>0</v>
      </c>
      <c r="E29" s="72"/>
      <c r="F29" s="74"/>
      <c r="G29" s="103"/>
      <c r="H29" s="102">
        <f t="shared" ref="H29:H41" si="1">IF(F29=$H$24,1,0)</f>
        <v>0</v>
      </c>
      <c r="I29" s="105">
        <f t="shared" ref="I29:I41" si="2">IF(H29&lt;&gt;0,INT(20*(+G29*H29)+0.5)/20,0)</f>
        <v>0</v>
      </c>
      <c r="J29" s="6"/>
      <c r="K29" s="75"/>
    </row>
    <row r="30" spans="1:11" s="4" customFormat="1" x14ac:dyDescent="0.3">
      <c r="A30" s="18">
        <v>3</v>
      </c>
      <c r="B30" s="84"/>
      <c r="C30" s="72"/>
      <c r="D30" s="8">
        <f>IF(ISNA(VLOOKUP(K30,Codes!A$3:B$19,2,FALSE))=TRUE,0,VLOOKUP(K30,Codes!A$3:B$19,2,FALSE))</f>
        <v>0</v>
      </c>
      <c r="E30" s="72"/>
      <c r="F30" s="74"/>
      <c r="G30" s="103"/>
      <c r="H30" s="102">
        <f t="shared" si="1"/>
        <v>0</v>
      </c>
      <c r="I30" s="105">
        <f t="shared" si="2"/>
        <v>0</v>
      </c>
      <c r="J30" s="6"/>
      <c r="K30" s="75"/>
    </row>
    <row r="31" spans="1:11" s="4" customFormat="1" x14ac:dyDescent="0.3">
      <c r="A31" s="18">
        <v>4</v>
      </c>
      <c r="B31" s="84"/>
      <c r="C31" s="72"/>
      <c r="D31" s="8">
        <f>IF(ISNA(VLOOKUP(K31,Codes!A$3:B$19,2,FALSE))=TRUE,0,VLOOKUP(K31,Codes!A$3:B$19,2,FALSE))</f>
        <v>0</v>
      </c>
      <c r="E31" s="72"/>
      <c r="F31" s="74"/>
      <c r="G31" s="103"/>
      <c r="H31" s="102">
        <f t="shared" si="1"/>
        <v>0</v>
      </c>
      <c r="I31" s="105">
        <f t="shared" si="2"/>
        <v>0</v>
      </c>
      <c r="J31" s="6"/>
      <c r="K31" s="75"/>
    </row>
    <row r="32" spans="1:11" s="4" customFormat="1" x14ac:dyDescent="0.3">
      <c r="A32" s="18">
        <v>5</v>
      </c>
      <c r="B32" s="84"/>
      <c r="C32" s="72"/>
      <c r="D32" s="8">
        <f>IF(ISNA(VLOOKUP(K32,Codes!A$3:B$19,2,FALSE))=TRUE,0,VLOOKUP(K32,Codes!A$3:B$19,2,FALSE))</f>
        <v>0</v>
      </c>
      <c r="E32" s="72"/>
      <c r="F32" s="74"/>
      <c r="G32" s="103"/>
      <c r="H32" s="102">
        <f t="shared" si="1"/>
        <v>0</v>
      </c>
      <c r="I32" s="105">
        <f t="shared" si="2"/>
        <v>0</v>
      </c>
      <c r="J32" s="6"/>
      <c r="K32" s="75"/>
    </row>
    <row r="33" spans="1:12" s="4" customFormat="1" x14ac:dyDescent="0.3">
      <c r="A33" s="18">
        <v>6</v>
      </c>
      <c r="B33" s="84"/>
      <c r="C33" s="72"/>
      <c r="D33" s="8">
        <f>IF(ISNA(VLOOKUP(K33,Codes!A$3:B$19,2,FALSE))=TRUE,0,VLOOKUP(K33,Codes!A$3:B$19,2,FALSE))</f>
        <v>0</v>
      </c>
      <c r="E33" s="72"/>
      <c r="F33" s="74"/>
      <c r="G33" s="103"/>
      <c r="H33" s="102">
        <f t="shared" si="1"/>
        <v>0</v>
      </c>
      <c r="I33" s="105">
        <f t="shared" si="2"/>
        <v>0</v>
      </c>
      <c r="J33" s="6"/>
      <c r="K33" s="75"/>
    </row>
    <row r="34" spans="1:12" s="4" customFormat="1" x14ac:dyDescent="0.3">
      <c r="A34" s="18">
        <v>7</v>
      </c>
      <c r="B34" s="84"/>
      <c r="C34" s="72"/>
      <c r="D34" s="8">
        <f>IF(ISNA(VLOOKUP(K34,Codes!A$3:B$19,2,FALSE))=TRUE,0,VLOOKUP(K34,Codes!A$3:B$19,2,FALSE))</f>
        <v>0</v>
      </c>
      <c r="E34" s="72"/>
      <c r="F34" s="74"/>
      <c r="G34" s="103"/>
      <c r="H34" s="102">
        <f t="shared" si="1"/>
        <v>0</v>
      </c>
      <c r="I34" s="105">
        <f t="shared" si="2"/>
        <v>0</v>
      </c>
      <c r="J34" s="6"/>
      <c r="K34" s="75"/>
    </row>
    <row r="35" spans="1:12" s="4" customFormat="1" x14ac:dyDescent="0.3">
      <c r="A35" s="18">
        <v>8</v>
      </c>
      <c r="B35" s="84"/>
      <c r="C35" s="72"/>
      <c r="D35" s="8">
        <f>IF(ISNA(VLOOKUP(K35,Codes!A$3:B$19,2,FALSE))=TRUE,0,VLOOKUP(K35,Codes!A$3:B$19,2,FALSE))</f>
        <v>0</v>
      </c>
      <c r="E35" s="72"/>
      <c r="F35" s="74"/>
      <c r="G35" s="103"/>
      <c r="H35" s="102">
        <f t="shared" si="1"/>
        <v>0</v>
      </c>
      <c r="I35" s="105">
        <f t="shared" si="2"/>
        <v>0</v>
      </c>
      <c r="J35" s="6"/>
      <c r="K35" s="75"/>
    </row>
    <row r="36" spans="1:12" s="4" customFormat="1" x14ac:dyDescent="0.3">
      <c r="A36" s="18">
        <v>9</v>
      </c>
      <c r="B36" s="84"/>
      <c r="C36" s="72"/>
      <c r="D36" s="55">
        <f>IF(ISNA(VLOOKUP(K36,Codes!A$3:B$19,2,FALSE))=TRUE,0,VLOOKUP(K36,Codes!A$3:B$19,2,FALSE))</f>
        <v>0</v>
      </c>
      <c r="E36" s="72"/>
      <c r="F36" s="74"/>
      <c r="G36" s="103"/>
      <c r="H36" s="102">
        <f t="shared" si="1"/>
        <v>0</v>
      </c>
      <c r="I36" s="105">
        <f t="shared" si="2"/>
        <v>0</v>
      </c>
      <c r="J36" s="6"/>
      <c r="K36" s="75"/>
    </row>
    <row r="37" spans="1:12" s="4" customFormat="1" x14ac:dyDescent="0.3">
      <c r="A37" s="18">
        <v>10</v>
      </c>
      <c r="B37" s="84"/>
      <c r="C37" s="72"/>
      <c r="D37" s="8">
        <f>IF(ISNA(VLOOKUP(K37,Codes!A$3:B$19,2,FALSE))=TRUE,0,VLOOKUP(K37,Codes!A$3:B$19,2,FALSE))</f>
        <v>0</v>
      </c>
      <c r="E37" s="72"/>
      <c r="F37" s="74"/>
      <c r="G37" s="103"/>
      <c r="H37" s="102">
        <f t="shared" si="1"/>
        <v>0</v>
      </c>
      <c r="I37" s="105">
        <f t="shared" si="2"/>
        <v>0</v>
      </c>
      <c r="J37" s="6"/>
      <c r="K37" s="75"/>
    </row>
    <row r="38" spans="1:12" s="4" customFormat="1" x14ac:dyDescent="0.3">
      <c r="A38" s="18">
        <v>11</v>
      </c>
      <c r="B38" s="84"/>
      <c r="C38" s="72"/>
      <c r="D38" s="8">
        <f>IF(ISNA(VLOOKUP(K38,Codes!A$3:B$19,2,FALSE))=TRUE,0,VLOOKUP(K38,Codes!A$3:B$19,2,FALSE))</f>
        <v>0</v>
      </c>
      <c r="E38" s="72"/>
      <c r="F38" s="74"/>
      <c r="G38" s="103"/>
      <c r="H38" s="102">
        <f t="shared" si="1"/>
        <v>0</v>
      </c>
      <c r="I38" s="105">
        <f t="shared" si="2"/>
        <v>0</v>
      </c>
      <c r="J38" s="6"/>
      <c r="K38" s="75"/>
    </row>
    <row r="39" spans="1:12" s="4" customFormat="1" x14ac:dyDescent="0.3">
      <c r="A39" s="18">
        <v>12</v>
      </c>
      <c r="B39" s="84"/>
      <c r="C39" s="72"/>
      <c r="D39" s="8">
        <f>IF(ISNA(VLOOKUP(K39,Codes!A$3:B$19,2,FALSE))=TRUE,0,VLOOKUP(K39,Codes!A$3:B$19,2,FALSE))</f>
        <v>0</v>
      </c>
      <c r="E39" s="72"/>
      <c r="F39" s="74"/>
      <c r="G39" s="103"/>
      <c r="H39" s="102">
        <f t="shared" si="1"/>
        <v>0</v>
      </c>
      <c r="I39" s="105">
        <f t="shared" si="2"/>
        <v>0</v>
      </c>
      <c r="J39" s="6"/>
      <c r="K39" s="75"/>
    </row>
    <row r="40" spans="1:12" s="4" customFormat="1" x14ac:dyDescent="0.3">
      <c r="A40" s="18">
        <v>13</v>
      </c>
      <c r="B40" s="84"/>
      <c r="C40" s="72"/>
      <c r="D40" s="8">
        <f>IF(ISNA(VLOOKUP(K40,Codes!A$3:B$19,2,FALSE))=TRUE,0,VLOOKUP(K40,Codes!A$3:B$19,2,FALSE))</f>
        <v>0</v>
      </c>
      <c r="E40" s="72"/>
      <c r="F40" s="74"/>
      <c r="G40" s="103"/>
      <c r="H40" s="102">
        <f t="shared" si="1"/>
        <v>0</v>
      </c>
      <c r="I40" s="105">
        <f t="shared" si="2"/>
        <v>0</v>
      </c>
      <c r="J40" s="6"/>
      <c r="K40" s="75"/>
    </row>
    <row r="41" spans="1:12" s="4" customFormat="1" ht="14.5" thickBot="1" x14ac:dyDescent="0.35">
      <c r="A41" s="19">
        <v>14</v>
      </c>
      <c r="B41" s="85"/>
      <c r="C41" s="73"/>
      <c r="D41" s="20">
        <f>IF(ISNA(VLOOKUP(K41,Codes!A$3:B$19,2,FALSE))=TRUE,0,VLOOKUP(K41,Codes!A$3:B$19,2,FALSE))</f>
        <v>0</v>
      </c>
      <c r="E41" s="73"/>
      <c r="F41" s="74"/>
      <c r="G41" s="104"/>
      <c r="H41" s="102">
        <f t="shared" si="1"/>
        <v>0</v>
      </c>
      <c r="I41" s="106">
        <f t="shared" si="2"/>
        <v>0</v>
      </c>
      <c r="J41" s="6"/>
      <c r="K41" s="75"/>
    </row>
    <row r="42" spans="1:12" s="4" customFormat="1" ht="6.75" customHeight="1" x14ac:dyDescent="0.3">
      <c r="A42" s="144"/>
      <c r="B42" s="132"/>
      <c r="C42" s="133"/>
      <c r="D42" s="133"/>
      <c r="E42" s="133"/>
      <c r="F42" s="134"/>
      <c r="G42" s="135"/>
      <c r="H42" s="136"/>
      <c r="I42" s="145"/>
      <c r="J42" s="6"/>
      <c r="K42" s="5"/>
    </row>
    <row r="43" spans="1:12" s="51" customFormat="1" ht="11.5" x14ac:dyDescent="0.25">
      <c r="A43" s="146" t="str">
        <f>IF($G$1="Deutsch",Codes!$A77,Codes!$B77)</f>
        <v>Total Expenses Page 1</v>
      </c>
      <c r="B43" s="52"/>
      <c r="C43" s="53"/>
      <c r="D43" s="53"/>
      <c r="E43" s="53"/>
      <c r="F43" s="54"/>
      <c r="G43" s="115"/>
      <c r="H43" s="116"/>
      <c r="I43" s="147">
        <f>SUM(I28:I41)</f>
        <v>0</v>
      </c>
      <c r="J43" s="49"/>
      <c r="K43" s="50"/>
    </row>
    <row r="44" spans="1:12" s="51" customFormat="1" ht="11.5" x14ac:dyDescent="0.25">
      <c r="A44" s="146" t="str">
        <f>IF($G$1="Deutsch",Codes!$A78,Codes!$B78)</f>
        <v>Total Expenses Page 2</v>
      </c>
      <c r="B44" s="52"/>
      <c r="C44" s="53"/>
      <c r="D44" s="53"/>
      <c r="E44" s="53"/>
      <c r="F44" s="54"/>
      <c r="G44" s="115"/>
      <c r="H44" s="116"/>
      <c r="I44" s="147">
        <f>+'Expenses Page 2'!I48</f>
        <v>0</v>
      </c>
      <c r="J44" s="49"/>
      <c r="K44" s="50"/>
    </row>
    <row r="45" spans="1:12" s="51" customFormat="1" ht="11.5" x14ac:dyDescent="0.25">
      <c r="A45" s="146" t="str">
        <f>IF($G$1="Deutsch",Codes!$A79,Codes!$B79)</f>
        <v>TOTAL EXPENSES</v>
      </c>
      <c r="G45" s="117"/>
      <c r="H45" s="118"/>
      <c r="I45" s="148">
        <f>SUM(I43:I44)</f>
        <v>0</v>
      </c>
      <c r="J45" s="49"/>
    </row>
    <row r="46" spans="1:12" s="51" customFormat="1" ht="11.5" x14ac:dyDescent="0.25">
      <c r="A46" s="149" t="str">
        <f>IF($G$1="Deutsch",Codes!$A65,Codes!$B65)</f>
        <v>TOTAL FIXED ALLOWANCES</v>
      </c>
      <c r="B46" s="92"/>
      <c r="C46" s="93"/>
      <c r="D46" s="93"/>
      <c r="E46" s="93"/>
      <c r="F46" s="94"/>
      <c r="G46" s="119"/>
      <c r="H46" s="120"/>
      <c r="I46" s="150" t="str">
        <f>IF(G12&lt;&gt;"CHF"," ",+I23)</f>
        <v xml:space="preserve"> </v>
      </c>
      <c r="J46" s="49"/>
      <c r="K46" s="50"/>
    </row>
    <row r="47" spans="1:12" s="51" customFormat="1" ht="24" customHeight="1" thickBot="1" x14ac:dyDescent="0.3">
      <c r="A47" s="151" t="str">
        <f>IF($G$1="Deutsch",Codes!$A80,Codes!$B80)</f>
        <v>TOTAL TO BE PAID IN CURRENCY</v>
      </c>
      <c r="B47" s="152"/>
      <c r="C47" s="153"/>
      <c r="D47" s="153"/>
      <c r="E47" s="153"/>
      <c r="F47" s="154"/>
      <c r="G47" s="155"/>
      <c r="H47" s="156" t="str">
        <f>+G12</f>
        <v>USD</v>
      </c>
      <c r="I47" s="157" t="str">
        <f>IF(I46=" "," ",+I46+I45)</f>
        <v xml:space="preserve"> </v>
      </c>
      <c r="J47" s="49"/>
      <c r="K47" s="50"/>
    </row>
    <row r="48" spans="1:12" ht="9" customHeight="1" thickBot="1" x14ac:dyDescent="0.4">
      <c r="D48" s="4"/>
      <c r="E48" s="4"/>
      <c r="F48" s="4"/>
      <c r="G48" s="4"/>
      <c r="H48" s="47"/>
      <c r="I48" s="48"/>
      <c r="K48" s="4"/>
      <c r="L48" s="4"/>
    </row>
    <row r="49" spans="1:10" ht="14.5" x14ac:dyDescent="0.35">
      <c r="A49" s="207" t="str">
        <f>IF($G$1="Deutsch",Codes!$A81,Codes!$B81)</f>
        <v>Signature of beneficiary</v>
      </c>
      <c r="B49" s="208"/>
      <c r="C49" s="128"/>
      <c r="D49" s="4"/>
      <c r="F49" s="1"/>
      <c r="G49" s="203" t="str">
        <f>IF($G$1="Deutsch",Codes!$A90,Codes!$B90)</f>
        <v>ACCOUNTING ONLY</v>
      </c>
      <c r="H49" s="204"/>
      <c r="I49" s="121" t="str">
        <f>+G12</f>
        <v>USD</v>
      </c>
      <c r="J49" s="1"/>
    </row>
    <row r="50" spans="1:10" x14ac:dyDescent="0.3">
      <c r="A50" s="209"/>
      <c r="B50" s="210"/>
      <c r="C50" s="129"/>
      <c r="F50" s="1"/>
      <c r="G50" s="56">
        <v>422000</v>
      </c>
      <c r="H50" s="57"/>
      <c r="I50" s="122">
        <f>SUMIF(D$28:D$41,422000,'Expenses  Page 1'!I$28:I$41)+SUMIF('Expenses Page 2'!D$13:D$47,422000,'Expenses Page 2'!I$13:I$47)</f>
        <v>0</v>
      </c>
      <c r="J50" s="1"/>
    </row>
    <row r="51" spans="1:10" ht="14.5" thickBot="1" x14ac:dyDescent="0.35">
      <c r="A51" s="211"/>
      <c r="B51" s="212"/>
      <c r="C51" s="130"/>
      <c r="F51" s="1"/>
      <c r="G51" s="56">
        <v>422010</v>
      </c>
      <c r="H51" s="131"/>
      <c r="I51" s="122">
        <f>SUMIF(D$28:D$41,422010,'Expenses  Page 1'!I$28:I$41)+SUMIF('Expenses Page 2'!D$13:D$47,422010,'Expenses Page 2'!I$13:I$47)</f>
        <v>0</v>
      </c>
      <c r="J51" s="1"/>
    </row>
    <row r="52" spans="1:10" ht="14.5" thickBot="1" x14ac:dyDescent="0.35">
      <c r="F52" s="1"/>
      <c r="G52" s="56">
        <v>422020</v>
      </c>
      <c r="H52" s="131"/>
      <c r="I52" s="122" t="str">
        <f>+I24</f>
        <v xml:space="preserve"> </v>
      </c>
      <c r="J52" s="1"/>
    </row>
    <row r="53" spans="1:10" ht="14.5" x14ac:dyDescent="0.35">
      <c r="A53" s="213" t="str">
        <f>IF($G$1="Deutsch",Codes!$A82,Codes!$B82)</f>
        <v>Account holder</v>
      </c>
      <c r="B53" s="214"/>
      <c r="C53" s="188" t="s">
        <v>163</v>
      </c>
      <c r="F53" s="1"/>
      <c r="G53" s="56">
        <v>421000</v>
      </c>
      <c r="H53" s="131"/>
      <c r="I53" s="122">
        <f>SUMIF(D$28:D$41,421000,'Expenses  Page 1'!I$28:I$41)+SUMIF('Expenses Page 2'!D$13:D$47,421000,'Expenses Page 2'!I$13:I$47)</f>
        <v>0</v>
      </c>
      <c r="J53" s="1"/>
    </row>
    <row r="54" spans="1:10" ht="14.5" x14ac:dyDescent="0.35">
      <c r="A54" s="215" t="str">
        <f>IF($G$1="Deutsch",Codes!$A83,Codes!$B83)</f>
        <v>Bank/Post</v>
      </c>
      <c r="B54" s="216"/>
      <c r="C54" s="189" t="s">
        <v>164</v>
      </c>
      <c r="F54" s="1"/>
      <c r="G54" s="56">
        <v>423000</v>
      </c>
      <c r="H54" s="57"/>
      <c r="I54" s="122">
        <f>SUMIF(D$28:D$41,423000,'Expenses  Page 1'!I$28:I$41)+SUMIF('Expenses Page 2'!D$13:D$47,423000,'Expenses Page 2'!I$13:I$47)</f>
        <v>0</v>
      </c>
      <c r="J54" s="1"/>
    </row>
    <row r="55" spans="1:10" ht="14.5" x14ac:dyDescent="0.35">
      <c r="A55" s="215" t="str">
        <f>IF($G$1="Deutsch",Codes!$A84,Codes!$B84)</f>
        <v>Address Bank/Post</v>
      </c>
      <c r="B55" s="216"/>
      <c r="C55" s="192" t="s">
        <v>165</v>
      </c>
      <c r="G55" s="56">
        <v>423020</v>
      </c>
      <c r="H55" s="57"/>
      <c r="I55" s="122">
        <f>SUMIF(D$28:D$41,423020,'Expenses  Page 1'!I$28:I$41)+SUMIF('Expenses Page 2'!D$13:D$47,423020,'Expenses Page 2'!I$13:I$47)</f>
        <v>0</v>
      </c>
    </row>
    <row r="56" spans="1:10" ht="14.5" x14ac:dyDescent="0.35">
      <c r="A56" s="215" t="str">
        <f>IF($G$1="Deutsch",Codes!$A42,Codes!$B42)</f>
        <v>ZIP/Place</v>
      </c>
      <c r="B56" s="216"/>
      <c r="C56" s="189" t="s">
        <v>166</v>
      </c>
      <c r="G56" s="56">
        <v>500000</v>
      </c>
      <c r="H56" s="57"/>
      <c r="I56" s="122">
        <f>SUMIF(D$28:D$41,500000,'Expenses  Page 1'!I$28:I$41)+SUMIF('Expenses Page 2'!D$13:D$47,500000,'Expenses Page 2'!I$13:I$47)</f>
        <v>0</v>
      </c>
    </row>
    <row r="57" spans="1:10" ht="14.5" x14ac:dyDescent="0.35">
      <c r="A57" s="215" t="str">
        <f>IF($G$1="Deutsch",Codes!$A85,Codes!$B85)</f>
        <v>Account no.</v>
      </c>
      <c r="B57" s="216"/>
      <c r="C57" s="191">
        <v>3441002233485</v>
      </c>
      <c r="G57" s="56">
        <v>500040</v>
      </c>
      <c r="H57" s="57"/>
      <c r="I57" s="122">
        <f>SUMIF(D$28:D$41,500040,'Expenses  Page 1'!I$28:I$41)+SUMIF('Expenses Page 2'!D$13:D$47,500040,'Expenses Page 2'!I$13:I$47)</f>
        <v>0</v>
      </c>
    </row>
    <row r="58" spans="1:10" ht="14.5" x14ac:dyDescent="0.35">
      <c r="A58" s="215" t="str">
        <f>IF($G$1="Deutsch",Codes!$A86,Codes!$B86)</f>
        <v>IBAN no.</v>
      </c>
      <c r="B58" s="216"/>
      <c r="C58" s="107"/>
      <c r="G58" s="56">
        <v>510010</v>
      </c>
      <c r="H58" s="57"/>
      <c r="I58" s="122">
        <f>SUMIF(D$28:D$41,510010,'Expenses  Page 1'!I$28:I$41)+SUMIF('Expenses Page 2'!D$13:D$47,510010,'Expenses Page 2'!I$13:I$47)</f>
        <v>0</v>
      </c>
    </row>
    <row r="59" spans="1:10" ht="15" thickBot="1" x14ac:dyDescent="0.4">
      <c r="A59" s="205" t="str">
        <f>IF($G$1="Deutsch",Codes!$A87,Codes!$B87)</f>
        <v>BIC/SWIFT</v>
      </c>
      <c r="B59" s="206"/>
      <c r="C59" s="190" t="s">
        <v>167</v>
      </c>
      <c r="G59" s="56">
        <v>550000</v>
      </c>
      <c r="H59" s="57"/>
      <c r="I59" s="122">
        <f>SUMIF(D$28:D$41,550000,'Expenses  Page 1'!I$28:I$41)+SUMIF('Expenses Page 2'!D$13:D$47,550000,'Expenses Page 2'!I$13:I$47)</f>
        <v>0</v>
      </c>
    </row>
    <row r="60" spans="1:10" ht="14.5" thickBot="1" x14ac:dyDescent="0.35">
      <c r="G60" s="56">
        <v>550010</v>
      </c>
      <c r="H60" s="57"/>
      <c r="I60" s="122">
        <f>SUMIF(D$28:D$41,550010,'Expenses  Page 1'!I$28:I$41)+SUMIF('Expenses Page 2'!D$13:D$47,550010,'Expenses Page 2'!I$13:I$47)</f>
        <v>0</v>
      </c>
    </row>
    <row r="61" spans="1:10" x14ac:dyDescent="0.3">
      <c r="A61" s="193" t="str">
        <f>IF($G$1="Deutsch",Codes!$A92,Codes!$B92)</f>
        <v>Entrydate (dd.mm.yyyy)</v>
      </c>
      <c r="B61" s="194"/>
      <c r="C61" s="141"/>
      <c r="G61" s="56">
        <v>550020</v>
      </c>
      <c r="H61" s="57"/>
      <c r="I61" s="122">
        <f>SUMIF(D$28:D$41,550020,'Expenses  Page 1'!I$28:I$41)+SUMIF('Expenses Page 2'!D$13:D$47,550020,'Expenses Page 2'!I$13:I$47)</f>
        <v>0</v>
      </c>
    </row>
    <row r="62" spans="1:10" x14ac:dyDescent="0.3">
      <c r="A62" s="195"/>
      <c r="B62" s="196"/>
      <c r="C62" s="142"/>
      <c r="G62" s="56">
        <v>550030</v>
      </c>
      <c r="H62" s="57"/>
      <c r="I62" s="122">
        <f>SUMIF(D$28:D$41,550030,'Expenses  Page 1'!I$28:I$41)+SUMIF('Expenses Page 2'!D$13:D$47,550030,'Expenses Page 2'!I$13:I$47)</f>
        <v>0</v>
      </c>
    </row>
    <row r="63" spans="1:10" x14ac:dyDescent="0.3">
      <c r="A63" s="197" t="str">
        <f>IF($G$1="Deutsch",Codes!$A89,Codes!$B89)</f>
        <v>Visa Line Manager</v>
      </c>
      <c r="B63" s="198"/>
      <c r="C63" s="140"/>
      <c r="G63" s="56">
        <v>550060</v>
      </c>
      <c r="H63" s="57"/>
      <c r="I63" s="122">
        <f>SUMIF(D$28:D$41,550060,'Expenses  Page 1'!I$28:I$41)+SUMIF('Expenses Page 2'!D$13:D$47,550060,'Expenses Page 2'!I$13:I$47)</f>
        <v>0</v>
      </c>
    </row>
    <row r="64" spans="1:10" x14ac:dyDescent="0.3">
      <c r="A64" s="199"/>
      <c r="B64" s="200"/>
      <c r="C64" s="129"/>
      <c r="F64" s="1"/>
      <c r="G64" s="77">
        <v>550070</v>
      </c>
      <c r="H64" s="67"/>
      <c r="I64" s="122">
        <f>SUMIF(D$28:D$41,550070,'Expenses  Page 1'!I$28:I$41)+SUMIF('Expenses Page 2'!D$13:D$47,550070,'Expenses Page 2'!I$13:I$47)</f>
        <v>0</v>
      </c>
      <c r="J64" s="1"/>
    </row>
    <row r="65" spans="1:11" ht="14.5" thickBot="1" x14ac:dyDescent="0.35">
      <c r="A65" s="201"/>
      <c r="B65" s="202"/>
      <c r="C65" s="130"/>
      <c r="F65" s="1"/>
      <c r="G65" s="77">
        <v>550080</v>
      </c>
      <c r="H65" s="67"/>
      <c r="I65" s="122">
        <f>SUMIF(D$28:D$41,550080,'Expenses  Page 1'!I$28:I$41)+SUMIF('Expenses Page 2'!D$13:D$47,550080,'Expenses Page 2'!I$13:I$47)</f>
        <v>0</v>
      </c>
      <c r="J65" s="1"/>
    </row>
    <row r="66" spans="1:11" x14ac:dyDescent="0.3">
      <c r="G66" s="77">
        <v>568000</v>
      </c>
      <c r="H66" s="67"/>
      <c r="I66" s="122">
        <f>SUMIF(D$28:D$41,568000,'Expenses  Page 1'!I$28:I$41)+SUMIF('Expenses Page 2'!D$13:D$47,568000,'Expenses Page 2'!I$13:I$47)</f>
        <v>0</v>
      </c>
    </row>
    <row r="67" spans="1:11" ht="14.5" thickBot="1" x14ac:dyDescent="0.35">
      <c r="G67" s="58" t="s">
        <v>36</v>
      </c>
      <c r="H67" s="59"/>
      <c r="I67" s="123">
        <f>SUMIF(D$28:D$41,"Other",'Expenses  Page 1'!I$28:I$41)+SUMIF('Expenses Page 2'!D$13:D$47,"Other",'Expenses Page 2'!I$13:I$47)</f>
        <v>0</v>
      </c>
    </row>
    <row r="68" spans="1:11" ht="14.5" thickBot="1" x14ac:dyDescent="0.35">
      <c r="G68" s="65" t="s">
        <v>40</v>
      </c>
      <c r="H68" s="59"/>
      <c r="I68" s="124" t="str">
        <f>IF(G12="CHF",SUM(I50:I67)," ")</f>
        <v xml:space="preserve"> </v>
      </c>
    </row>
    <row r="69" spans="1:11" x14ac:dyDescent="0.3">
      <c r="G69" s="1"/>
      <c r="H69" s="1"/>
      <c r="I69" s="1"/>
    </row>
    <row r="70" spans="1:11" x14ac:dyDescent="0.3">
      <c r="G70" s="1"/>
      <c r="H70" s="1"/>
      <c r="I70" s="1"/>
    </row>
    <row r="71" spans="1:11" x14ac:dyDescent="0.3">
      <c r="G71" s="1"/>
      <c r="H71" s="1"/>
      <c r="I71" s="1"/>
      <c r="K71" s="29"/>
    </row>
    <row r="72" spans="1:11" x14ac:dyDescent="0.3">
      <c r="G72" s="1"/>
      <c r="H72" s="1"/>
      <c r="I72" s="1"/>
    </row>
  </sheetData>
  <sheetProtection algorithmName="SHA-512" hashValue="Bo0wVAKCijVQoQjcdQZV2YSJ55xaN/LMiyeck6x8suZSSgFr6cuvNh4swIX7n60+qS7TLM/PM6uVssyAfrbfZw==" saltValue="3ZYFuOHKy7Q9hVeVQRaL0Q==" spinCount="100000" sheet="1" formatCells="0" selectLockedCells="1"/>
  <mergeCells count="27">
    <mergeCell ref="A22:E22"/>
    <mergeCell ref="G14:I14"/>
    <mergeCell ref="G13:I13"/>
    <mergeCell ref="C6:I6"/>
    <mergeCell ref="C7:F7"/>
    <mergeCell ref="C9:F9"/>
    <mergeCell ref="C10:F10"/>
    <mergeCell ref="C11:I11"/>
    <mergeCell ref="C8:F8"/>
    <mergeCell ref="C19:E19"/>
    <mergeCell ref="C20:E20"/>
    <mergeCell ref="C21:E21"/>
    <mergeCell ref="A18:E18"/>
    <mergeCell ref="A19:B19"/>
    <mergeCell ref="A20:B20"/>
    <mergeCell ref="A21:B21"/>
    <mergeCell ref="A61:B62"/>
    <mergeCell ref="A63:B65"/>
    <mergeCell ref="G49:H49"/>
    <mergeCell ref="A59:B59"/>
    <mergeCell ref="A49:B51"/>
    <mergeCell ref="A53:B53"/>
    <mergeCell ref="A54:B54"/>
    <mergeCell ref="A55:B55"/>
    <mergeCell ref="A57:B57"/>
    <mergeCell ref="A58:B58"/>
    <mergeCell ref="A56:B56"/>
  </mergeCells>
  <dataValidations count="3">
    <dataValidation type="date" allowBlank="1" showInputMessage="1" showErrorMessage="1" sqref="I7 I9:I10" xr:uid="{00000000-0002-0000-0000-000000000000}">
      <formula1>41548</formula1>
      <formula2>73050</formula2>
    </dataValidation>
    <dataValidation type="date" allowBlank="1" showInputMessage="1" showErrorMessage="1" sqref="C13 G13:I13 B28:B41" xr:uid="{00000000-0002-0000-0000-000001000000}">
      <formula1>41640</formula1>
      <formula2>73050</formula2>
    </dataValidation>
    <dataValidation type="whole" allowBlank="1" showInputMessage="1" showErrorMessage="1" sqref="F19:F22" xr:uid="{00000000-0002-0000-0000-000002000000}">
      <formula1>0</formula1>
      <formula2>100</formula2>
    </dataValidation>
  </dataValidations>
  <pageMargins left="0.70866141732283472" right="0.31496062992125984" top="0.35433070866141736" bottom="0.35433070866141736" header="0.31496062992125984" footer="0.31496062992125984"/>
  <pageSetup paperSize="9" scale="80" orientation="portrait" r:id="rId1"/>
  <headerFooter>
    <oddFooter>&amp;R&amp;"Arial,Standard"&amp;9Bill of Expenses / ADMIN / Version  2020-11-12</oddFooter>
  </headerFooter>
  <ignoredErrors>
    <ignoredError sqref="H29:H38 H39:H4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3000000}">
          <x14:formula1>
            <xm:f>Codes!$A$23:$A$26</xm:f>
          </x14:formula1>
          <xm:sqref>G12</xm:sqref>
        </x14:dataValidation>
        <x14:dataValidation type="list" allowBlank="1" showInputMessage="1" showErrorMessage="1" xr:uid="{00000000-0002-0000-0000-000004000000}">
          <x14:formula1>
            <xm:f>Codes!$A$33:$A$34</xm:f>
          </x14:formula1>
          <xm:sqref>G1</xm:sqref>
        </x14:dataValidation>
        <x14:dataValidation type="list" allowBlank="1" showInputMessage="1" showErrorMessage="1" xr:uid="{00000000-0002-0000-0000-000005000000}">
          <x14:formula1>
            <xm:f>IF(G1="Deutsch",Codes!$A$29:$A$30,Codes!$B$29:$B$30)</xm:f>
          </x14:formula1>
          <xm:sqref>D16</xm:sqref>
        </x14:dataValidation>
        <x14:dataValidation type="list" allowBlank="1" showInputMessage="1" showErrorMessage="1" xr:uid="{00000000-0002-0000-0000-000006000000}">
          <x14:formula1>
            <xm:f>Codes!$A$3:$A$19</xm:f>
          </x14:formula1>
          <xm:sqref>K28:K41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K59"/>
  <sheetViews>
    <sheetView topLeftCell="A4" zoomScaleNormal="100" workbookViewId="0">
      <selection activeCell="B13" sqref="B13"/>
    </sheetView>
  </sheetViews>
  <sheetFormatPr defaultColWidth="9.1796875" defaultRowHeight="14" x14ac:dyDescent="0.3"/>
  <cols>
    <col min="1" max="1" width="3.81640625" style="1" customWidth="1"/>
    <col min="2" max="2" width="11.1796875" style="1" customWidth="1"/>
    <col min="3" max="3" width="37.1796875" style="1" customWidth="1"/>
    <col min="4" max="4" width="8" style="1" customWidth="1"/>
    <col min="5" max="5" width="8.1796875" style="1" customWidth="1"/>
    <col min="6" max="6" width="8.81640625" style="2" customWidth="1"/>
    <col min="7" max="7" width="13.7265625" style="6" customWidth="1"/>
    <col min="8" max="8" width="10.453125" style="6" customWidth="1"/>
    <col min="9" max="9" width="13.26953125" style="6" customWidth="1"/>
    <col min="10" max="10" width="3.1796875" style="6" customWidth="1"/>
    <col min="11" max="11" width="75.1796875" style="1" customWidth="1"/>
    <col min="12" max="16384" width="9.1796875" style="1"/>
  </cols>
  <sheetData>
    <row r="1" spans="1:11" s="61" customFormat="1" ht="18" x14ac:dyDescent="0.4">
      <c r="A1" s="60" t="str">
        <f>+'Expenses  Page 1'!A4</f>
        <v>BILL OF EXPENSES  - FIXED ALLOWANCES</v>
      </c>
      <c r="F1" s="62"/>
      <c r="G1" s="63"/>
      <c r="H1" s="63"/>
      <c r="I1" s="63"/>
      <c r="J1" s="63"/>
    </row>
    <row r="2" spans="1:11" s="61" customFormat="1" ht="18" x14ac:dyDescent="0.4">
      <c r="A2" s="60" t="str">
        <f>IF('Expenses  Page 1'!G1="Deutsch",Codes!$A91,Codes!$B91)</f>
        <v>Page 2</v>
      </c>
      <c r="F2" s="62"/>
      <c r="G2" s="63"/>
      <c r="H2" s="63"/>
      <c r="I2" s="63"/>
      <c r="J2" s="63"/>
    </row>
    <row r="3" spans="1:11" ht="6.75" customHeight="1" thickBot="1" x14ac:dyDescent="0.35"/>
    <row r="4" spans="1:11" ht="19.5" customHeight="1" x14ac:dyDescent="0.35">
      <c r="A4" s="66" t="str">
        <f>+'Expenses  Page 1'!A6</f>
        <v>Documentnr.</v>
      </c>
      <c r="B4" s="78"/>
      <c r="C4" s="240">
        <f>+'Expenses  Page 1'!C6:I6</f>
        <v>0</v>
      </c>
      <c r="D4" s="241"/>
      <c r="E4" s="241"/>
      <c r="F4" s="241"/>
      <c r="G4" s="241"/>
      <c r="H4" s="241"/>
      <c r="I4" s="242"/>
    </row>
    <row r="5" spans="1:11" ht="14.5" x14ac:dyDescent="0.35">
      <c r="A5" s="25" t="str">
        <f>+'Expenses  Page 1'!A7</f>
        <v>First name</v>
      </c>
      <c r="B5" s="25"/>
      <c r="C5" s="243" t="str">
        <f>+'Expenses  Page 1'!C7:F7</f>
        <v>Zenabu</v>
      </c>
      <c r="D5" s="244"/>
      <c r="E5" s="244"/>
      <c r="F5" s="245"/>
      <c r="H5" s="67" t="str">
        <f>+'Expenses  Page 1'!H7</f>
        <v>Valuta (dd.mm.yyyy)</v>
      </c>
      <c r="I5" s="102"/>
      <c r="K5" s="143"/>
    </row>
    <row r="6" spans="1:11" ht="14.5" x14ac:dyDescent="0.35">
      <c r="A6" s="25" t="str">
        <f>+'Expenses  Page 1'!A8</f>
        <v>Last name</v>
      </c>
      <c r="B6" s="138"/>
      <c r="C6" s="243" t="str">
        <f>+'Expenses  Page 1'!C8:F8</f>
        <v>Suboi</v>
      </c>
      <c r="D6" s="244"/>
      <c r="E6" s="244"/>
      <c r="F6" s="244"/>
      <c r="G6" s="244"/>
      <c r="H6" s="244"/>
      <c r="I6" s="246"/>
    </row>
    <row r="7" spans="1:11" ht="14.5" x14ac:dyDescent="0.35">
      <c r="A7" s="25" t="str">
        <f>+'Expenses  Page 1'!A11</f>
        <v>Mission/Purpose</v>
      </c>
      <c r="B7" s="25"/>
      <c r="C7" s="243" t="str">
        <f>+'Expenses  Page 1'!C11:I11</f>
        <v xml:space="preserve">To attend ASTMH 2025 Annual Meeting </v>
      </c>
      <c r="D7" s="244"/>
      <c r="E7" s="244"/>
      <c r="F7" s="244"/>
      <c r="G7" s="244"/>
      <c r="H7" s="244"/>
      <c r="I7" s="246"/>
    </row>
    <row r="8" spans="1:11" ht="14.5" thickBot="1" x14ac:dyDescent="0.35">
      <c r="A8" s="27" t="str">
        <f>+'Expenses  Page 1'!A12</f>
        <v>Cost centre</v>
      </c>
      <c r="B8" s="27"/>
      <c r="C8" s="162">
        <f>+'Expenses  Page 1'!C12</f>
        <v>4545</v>
      </c>
      <c r="D8" s="79"/>
      <c r="E8" s="79"/>
      <c r="F8" s="90" t="str">
        <f>+'Expenses  Page 1'!F12</f>
        <v>Currency (for payment)</v>
      </c>
      <c r="G8" s="80" t="str">
        <f>+'Expenses  Page 1'!G12</f>
        <v>USD</v>
      </c>
      <c r="H8" s="79"/>
      <c r="I8" s="81"/>
    </row>
    <row r="9" spans="1:11" s="4" customFormat="1" ht="6.75" customHeight="1" x14ac:dyDescent="0.3">
      <c r="A9" s="21"/>
      <c r="C9" s="5"/>
      <c r="D9" s="5"/>
      <c r="E9" s="5"/>
      <c r="F9" s="3"/>
      <c r="G9" s="7"/>
      <c r="H9" s="7"/>
      <c r="I9" s="7"/>
      <c r="J9" s="6"/>
      <c r="K9" s="5"/>
    </row>
    <row r="10" spans="1:11" s="4" customFormat="1" ht="6.75" customHeight="1" thickBot="1" x14ac:dyDescent="0.3">
      <c r="A10" s="28"/>
      <c r="C10" s="5"/>
      <c r="D10" s="5"/>
      <c r="E10" s="5"/>
      <c r="F10" s="3"/>
      <c r="G10" s="7"/>
      <c r="H10" s="7"/>
      <c r="I10" s="5"/>
      <c r="J10" s="5"/>
      <c r="K10" s="5"/>
    </row>
    <row r="11" spans="1:11" ht="14.5" thickBot="1" x14ac:dyDescent="0.35">
      <c r="A11" s="15" t="str">
        <f>+'Expenses  Page 1'!A26</f>
        <v>EXPENSES</v>
      </c>
      <c r="B11" s="16"/>
      <c r="C11" s="16"/>
      <c r="D11" s="16"/>
      <c r="E11" s="16"/>
      <c r="F11" s="17"/>
      <c r="G11" s="11"/>
      <c r="H11" s="11"/>
      <c r="I11" s="12"/>
    </row>
    <row r="12" spans="1:11" s="10" customFormat="1" x14ac:dyDescent="0.3">
      <c r="A12" s="125" t="str">
        <f>+'Expenses  Page 1'!A27</f>
        <v>No</v>
      </c>
      <c r="B12" s="126" t="str">
        <f>+'Expenses  Page 1'!B27</f>
        <v>Date</v>
      </c>
      <c r="C12" s="126" t="str">
        <f>+'Expenses  Page 1'!C27</f>
        <v>Disbursement</v>
      </c>
      <c r="D12" s="126" t="str">
        <f>+'Expenses  Page 1'!D27</f>
        <v>Acc.code</v>
      </c>
      <c r="E12" s="101" t="str">
        <f>+'Expenses  Page 1'!E27</f>
        <v>Budget line</v>
      </c>
      <c r="F12" s="127" t="str">
        <f>+'Expenses  Page 1'!F27</f>
        <v>Currency</v>
      </c>
      <c r="G12" s="113" t="str">
        <f>+'Expenses  Page 1'!G27</f>
        <v>Amount</v>
      </c>
      <c r="H12" s="113" t="str">
        <f>+'Expenses  Page 1'!H27</f>
        <v>Rate</v>
      </c>
      <c r="I12" s="114" t="str">
        <f>+'Expenses  Page 1'!I27</f>
        <v>Amount  USD</v>
      </c>
      <c r="J12" s="6"/>
      <c r="K12" s="14" t="str">
        <f>+'Expenses  Page 1'!K27</f>
        <v>Account</v>
      </c>
    </row>
    <row r="13" spans="1:11" s="4" customFormat="1" x14ac:dyDescent="0.3">
      <c r="A13" s="18">
        <v>15</v>
      </c>
      <c r="B13" s="71"/>
      <c r="C13" s="72"/>
      <c r="D13" s="8">
        <f>IF(ISNA(VLOOKUP(K13,Codes!A$3:B$19,2,FALSE))=TRUE,0,VLOOKUP(K13,Codes!A$3:B$19,2,FALSE))</f>
        <v>0</v>
      </c>
      <c r="E13" s="72"/>
      <c r="F13" s="74"/>
      <c r="G13" s="103"/>
      <c r="H13" s="102">
        <f>IF(F13=$G$8,1,0)</f>
        <v>0</v>
      </c>
      <c r="I13" s="105">
        <f>IF(H13&lt;&gt;0,INT(20*(+G13*H13)+0.5)/20,0)</f>
        <v>0</v>
      </c>
      <c r="J13" s="6"/>
      <c r="K13" s="75"/>
    </row>
    <row r="14" spans="1:11" s="4" customFormat="1" x14ac:dyDescent="0.3">
      <c r="A14" s="18">
        <v>16</v>
      </c>
      <c r="B14" s="71"/>
      <c r="C14" s="72"/>
      <c r="D14" s="8">
        <f>IF(ISNA(VLOOKUP(K14,Codes!A$3:B$19,2,FALSE))=TRUE,0,VLOOKUP(K14,Codes!A$3:B$19,2,FALSE))</f>
        <v>0</v>
      </c>
      <c r="E14" s="72"/>
      <c r="F14" s="74"/>
      <c r="G14" s="103"/>
      <c r="H14" s="102">
        <f t="shared" ref="H14:H47" si="0">IF(F14=$G$8,1,0)</f>
        <v>0</v>
      </c>
      <c r="I14" s="105">
        <f t="shared" ref="I14:I47" si="1">IF(H14&lt;&gt;0,INT(20*(+G14*H14)+0.5)/20,0)</f>
        <v>0</v>
      </c>
      <c r="J14" s="6"/>
      <c r="K14" s="75"/>
    </row>
    <row r="15" spans="1:11" s="4" customFormat="1" x14ac:dyDescent="0.3">
      <c r="A15" s="18">
        <v>17</v>
      </c>
      <c r="B15" s="71"/>
      <c r="C15" s="72"/>
      <c r="D15" s="8">
        <f>IF(ISNA(VLOOKUP(K15,Codes!A$3:B$19,2,FALSE))=TRUE,0,VLOOKUP(K15,Codes!A$3:B$19,2,FALSE))</f>
        <v>0</v>
      </c>
      <c r="E15" s="72"/>
      <c r="F15" s="74"/>
      <c r="G15" s="103"/>
      <c r="H15" s="102">
        <f t="shared" si="0"/>
        <v>0</v>
      </c>
      <c r="I15" s="105">
        <f t="shared" si="1"/>
        <v>0</v>
      </c>
      <c r="J15" s="6"/>
      <c r="K15" s="75"/>
    </row>
    <row r="16" spans="1:11" s="4" customFormat="1" x14ac:dyDescent="0.3">
      <c r="A16" s="18">
        <v>18</v>
      </c>
      <c r="B16" s="71"/>
      <c r="C16" s="72"/>
      <c r="D16" s="8">
        <f>IF(ISNA(VLOOKUP(K16,Codes!A$3:B$19,2,FALSE))=TRUE,0,VLOOKUP(K16,Codes!A$3:B$19,2,FALSE))</f>
        <v>0</v>
      </c>
      <c r="E16" s="72"/>
      <c r="F16" s="74"/>
      <c r="G16" s="103"/>
      <c r="H16" s="102">
        <f t="shared" si="0"/>
        <v>0</v>
      </c>
      <c r="I16" s="105">
        <f t="shared" si="1"/>
        <v>0</v>
      </c>
      <c r="J16" s="6"/>
      <c r="K16" s="75"/>
    </row>
    <row r="17" spans="1:11" s="4" customFormat="1" x14ac:dyDescent="0.3">
      <c r="A17" s="18">
        <v>19</v>
      </c>
      <c r="B17" s="71"/>
      <c r="C17" s="72"/>
      <c r="D17" s="8">
        <f>IF(ISNA(VLOOKUP(K17,Codes!A$3:B$19,2,FALSE))=TRUE,0,VLOOKUP(K17,Codes!A$3:B$19,2,FALSE))</f>
        <v>0</v>
      </c>
      <c r="E17" s="72"/>
      <c r="F17" s="74"/>
      <c r="G17" s="103"/>
      <c r="H17" s="102">
        <f t="shared" si="0"/>
        <v>0</v>
      </c>
      <c r="I17" s="105">
        <f t="shared" si="1"/>
        <v>0</v>
      </c>
      <c r="J17" s="6"/>
      <c r="K17" s="75"/>
    </row>
    <row r="18" spans="1:11" s="4" customFormat="1" x14ac:dyDescent="0.3">
      <c r="A18" s="18">
        <v>20</v>
      </c>
      <c r="B18" s="71"/>
      <c r="C18" s="72"/>
      <c r="D18" s="8">
        <f>IF(ISNA(VLOOKUP(K18,Codes!A$3:B$19,2,FALSE))=TRUE,0,VLOOKUP(K18,Codes!A$3:B$19,2,FALSE))</f>
        <v>0</v>
      </c>
      <c r="E18" s="72"/>
      <c r="F18" s="74"/>
      <c r="G18" s="103"/>
      <c r="H18" s="102">
        <f t="shared" si="0"/>
        <v>0</v>
      </c>
      <c r="I18" s="105">
        <f t="shared" si="1"/>
        <v>0</v>
      </c>
      <c r="J18" s="6"/>
      <c r="K18" s="75"/>
    </row>
    <row r="19" spans="1:11" s="4" customFormat="1" x14ac:dyDescent="0.3">
      <c r="A19" s="18">
        <v>21</v>
      </c>
      <c r="B19" s="71"/>
      <c r="C19" s="72"/>
      <c r="D19" s="8">
        <f>IF(ISNA(VLOOKUP(K19,Codes!A$3:B$19,2,FALSE))=TRUE,0,VLOOKUP(K19,Codes!A$3:B$19,2,FALSE))</f>
        <v>0</v>
      </c>
      <c r="E19" s="72"/>
      <c r="F19" s="74"/>
      <c r="G19" s="103"/>
      <c r="H19" s="102">
        <f t="shared" si="0"/>
        <v>0</v>
      </c>
      <c r="I19" s="105">
        <f t="shared" si="1"/>
        <v>0</v>
      </c>
      <c r="J19" s="6"/>
      <c r="K19" s="75"/>
    </row>
    <row r="20" spans="1:11" s="4" customFormat="1" x14ac:dyDescent="0.3">
      <c r="A20" s="18">
        <v>22</v>
      </c>
      <c r="B20" s="71"/>
      <c r="C20" s="72"/>
      <c r="D20" s="8">
        <f>IF(ISNA(VLOOKUP(K20,Codes!A$3:B$19,2,FALSE))=TRUE,0,VLOOKUP(K20,Codes!A$3:B$19,2,FALSE))</f>
        <v>0</v>
      </c>
      <c r="E20" s="72"/>
      <c r="F20" s="74"/>
      <c r="G20" s="103"/>
      <c r="H20" s="102">
        <f t="shared" si="0"/>
        <v>0</v>
      </c>
      <c r="I20" s="105">
        <f t="shared" si="1"/>
        <v>0</v>
      </c>
      <c r="J20" s="6"/>
      <c r="K20" s="75"/>
    </row>
    <row r="21" spans="1:11" s="4" customFormat="1" x14ac:dyDescent="0.3">
      <c r="A21" s="18">
        <v>23</v>
      </c>
      <c r="B21" s="71"/>
      <c r="C21" s="72"/>
      <c r="D21" s="55">
        <f>IF(ISNA(VLOOKUP(K21,Codes!A$3:B$19,2,FALSE))=TRUE,0,VLOOKUP(K21,Codes!A$3:B$19,2,FALSE))</f>
        <v>0</v>
      </c>
      <c r="E21" s="72"/>
      <c r="F21" s="74"/>
      <c r="G21" s="103"/>
      <c r="H21" s="102">
        <f t="shared" si="0"/>
        <v>0</v>
      </c>
      <c r="I21" s="105">
        <f t="shared" si="1"/>
        <v>0</v>
      </c>
      <c r="J21" s="6"/>
      <c r="K21" s="75"/>
    </row>
    <row r="22" spans="1:11" s="4" customFormat="1" x14ac:dyDescent="0.3">
      <c r="A22" s="18">
        <v>24</v>
      </c>
      <c r="B22" s="71"/>
      <c r="C22" s="72"/>
      <c r="D22" s="8">
        <f>IF(ISNA(VLOOKUP(K22,Codes!A$3:B$19,2,FALSE))=TRUE,0,VLOOKUP(K22,Codes!A$3:B$19,2,FALSE))</f>
        <v>0</v>
      </c>
      <c r="E22" s="72"/>
      <c r="F22" s="74"/>
      <c r="G22" s="103"/>
      <c r="H22" s="102">
        <f t="shared" si="0"/>
        <v>0</v>
      </c>
      <c r="I22" s="105">
        <f t="shared" si="1"/>
        <v>0</v>
      </c>
      <c r="J22" s="6"/>
      <c r="K22" s="75"/>
    </row>
    <row r="23" spans="1:11" s="4" customFormat="1" x14ac:dyDescent="0.3">
      <c r="A23" s="18">
        <v>25</v>
      </c>
      <c r="B23" s="71"/>
      <c r="C23" s="72"/>
      <c r="D23" s="8">
        <f>IF(ISNA(VLOOKUP(K23,Codes!A$3:B$19,2,FALSE))=TRUE,0,VLOOKUP(K23,Codes!A$3:B$19,2,FALSE))</f>
        <v>0</v>
      </c>
      <c r="E23" s="72"/>
      <c r="F23" s="74"/>
      <c r="G23" s="103"/>
      <c r="H23" s="102">
        <f t="shared" si="0"/>
        <v>0</v>
      </c>
      <c r="I23" s="105">
        <f t="shared" si="1"/>
        <v>0</v>
      </c>
      <c r="J23" s="6"/>
      <c r="K23" s="75"/>
    </row>
    <row r="24" spans="1:11" s="4" customFormat="1" x14ac:dyDescent="0.3">
      <c r="A24" s="18">
        <v>26</v>
      </c>
      <c r="B24" s="71"/>
      <c r="C24" s="72"/>
      <c r="D24" s="8">
        <f>IF(ISNA(VLOOKUP(K24,Codes!A$3:B$19,2,FALSE))=TRUE,0,VLOOKUP(K24,Codes!A$3:B$19,2,FALSE))</f>
        <v>0</v>
      </c>
      <c r="E24" s="72"/>
      <c r="F24" s="74"/>
      <c r="G24" s="103"/>
      <c r="H24" s="102">
        <f t="shared" si="0"/>
        <v>0</v>
      </c>
      <c r="I24" s="105">
        <f t="shared" si="1"/>
        <v>0</v>
      </c>
      <c r="J24" s="6"/>
      <c r="K24" s="75"/>
    </row>
    <row r="25" spans="1:11" s="4" customFormat="1" x14ac:dyDescent="0.3">
      <c r="A25" s="18">
        <v>27</v>
      </c>
      <c r="B25" s="71"/>
      <c r="C25" s="72"/>
      <c r="D25" s="8">
        <f>IF(ISNA(VLOOKUP(K25,Codes!A$3:B$19,2,FALSE))=TRUE,0,VLOOKUP(K25,Codes!A$3:B$19,2,FALSE))</f>
        <v>0</v>
      </c>
      <c r="E25" s="72"/>
      <c r="F25" s="74"/>
      <c r="G25" s="103"/>
      <c r="H25" s="102">
        <f t="shared" si="0"/>
        <v>0</v>
      </c>
      <c r="I25" s="105">
        <f t="shared" si="1"/>
        <v>0</v>
      </c>
      <c r="J25" s="6"/>
      <c r="K25" s="75"/>
    </row>
    <row r="26" spans="1:11" s="4" customFormat="1" x14ac:dyDescent="0.3">
      <c r="A26" s="18">
        <v>28</v>
      </c>
      <c r="B26" s="71"/>
      <c r="C26" s="72"/>
      <c r="D26" s="8">
        <f>IF(ISNA(VLOOKUP(K26,Codes!A$3:B$19,2,FALSE))=TRUE,0,VLOOKUP(K26,Codes!A$3:B$19,2,FALSE))</f>
        <v>0</v>
      </c>
      <c r="E26" s="72"/>
      <c r="F26" s="74"/>
      <c r="G26" s="103"/>
      <c r="H26" s="102">
        <f t="shared" si="0"/>
        <v>0</v>
      </c>
      <c r="I26" s="105">
        <f t="shared" si="1"/>
        <v>0</v>
      </c>
      <c r="J26" s="6"/>
      <c r="K26" s="75"/>
    </row>
    <row r="27" spans="1:11" s="4" customFormat="1" x14ac:dyDescent="0.3">
      <c r="A27" s="18">
        <v>29</v>
      </c>
      <c r="B27" s="71"/>
      <c r="C27" s="72"/>
      <c r="D27" s="8">
        <f>IF(ISNA(VLOOKUP(K27,Codes!A$3:B$19,2,FALSE))=TRUE,0,VLOOKUP(K27,Codes!A$3:B$19,2,FALSE))</f>
        <v>0</v>
      </c>
      <c r="E27" s="72"/>
      <c r="F27" s="74"/>
      <c r="G27" s="103"/>
      <c r="H27" s="102">
        <f t="shared" si="0"/>
        <v>0</v>
      </c>
      <c r="I27" s="105">
        <f t="shared" si="1"/>
        <v>0</v>
      </c>
      <c r="J27" s="6"/>
      <c r="K27" s="75"/>
    </row>
    <row r="28" spans="1:11" s="4" customFormat="1" x14ac:dyDescent="0.3">
      <c r="A28" s="18">
        <v>30</v>
      </c>
      <c r="B28" s="71"/>
      <c r="C28" s="72"/>
      <c r="D28" s="8">
        <f>IF(ISNA(VLOOKUP(K28,Codes!A$3:B$19,2,FALSE))=TRUE,0,VLOOKUP(K28,Codes!A$3:B$19,2,FALSE))</f>
        <v>0</v>
      </c>
      <c r="E28" s="72"/>
      <c r="F28" s="74"/>
      <c r="G28" s="103"/>
      <c r="H28" s="102">
        <f t="shared" si="0"/>
        <v>0</v>
      </c>
      <c r="I28" s="105">
        <f t="shared" si="1"/>
        <v>0</v>
      </c>
      <c r="J28" s="6"/>
      <c r="K28" s="75"/>
    </row>
    <row r="29" spans="1:11" s="4" customFormat="1" x14ac:dyDescent="0.3">
      <c r="A29" s="18">
        <v>31</v>
      </c>
      <c r="B29" s="71"/>
      <c r="C29" s="72"/>
      <c r="D29" s="8">
        <f>IF(ISNA(VLOOKUP(K29,Codes!A$3:B$19,2,FALSE))=TRUE,0,VLOOKUP(K29,Codes!A$3:B$19,2,FALSE))</f>
        <v>0</v>
      </c>
      <c r="E29" s="72"/>
      <c r="F29" s="74"/>
      <c r="G29" s="103"/>
      <c r="H29" s="102">
        <f t="shared" si="0"/>
        <v>0</v>
      </c>
      <c r="I29" s="105">
        <f t="shared" si="1"/>
        <v>0</v>
      </c>
      <c r="J29" s="6"/>
      <c r="K29" s="75"/>
    </row>
    <row r="30" spans="1:11" s="4" customFormat="1" x14ac:dyDescent="0.3">
      <c r="A30" s="18">
        <v>32</v>
      </c>
      <c r="B30" s="71"/>
      <c r="C30" s="72"/>
      <c r="D30" s="8">
        <f>IF(ISNA(VLOOKUP(K30,Codes!A$3:B$19,2,FALSE))=TRUE,0,VLOOKUP(K30,Codes!A$3:B$19,2,FALSE))</f>
        <v>0</v>
      </c>
      <c r="E30" s="72"/>
      <c r="F30" s="74"/>
      <c r="G30" s="103"/>
      <c r="H30" s="102">
        <f t="shared" si="0"/>
        <v>0</v>
      </c>
      <c r="I30" s="105">
        <f t="shared" si="1"/>
        <v>0</v>
      </c>
      <c r="J30" s="6"/>
      <c r="K30" s="75"/>
    </row>
    <row r="31" spans="1:11" s="4" customFormat="1" x14ac:dyDescent="0.3">
      <c r="A31" s="18">
        <v>33</v>
      </c>
      <c r="B31" s="71"/>
      <c r="C31" s="72"/>
      <c r="D31" s="8">
        <f>IF(ISNA(VLOOKUP(K31,Codes!A$3:B$19,2,FALSE))=TRUE,0,VLOOKUP(K31,Codes!A$3:B$19,2,FALSE))</f>
        <v>0</v>
      </c>
      <c r="E31" s="72"/>
      <c r="F31" s="74"/>
      <c r="G31" s="103"/>
      <c r="H31" s="102">
        <f t="shared" si="0"/>
        <v>0</v>
      </c>
      <c r="I31" s="105">
        <f t="shared" si="1"/>
        <v>0</v>
      </c>
      <c r="J31" s="6"/>
      <c r="K31" s="75"/>
    </row>
    <row r="32" spans="1:11" s="4" customFormat="1" x14ac:dyDescent="0.3">
      <c r="A32" s="18">
        <v>34</v>
      </c>
      <c r="B32" s="71"/>
      <c r="C32" s="72"/>
      <c r="D32" s="8">
        <f>IF(ISNA(VLOOKUP(K32,Codes!A$3:B$19,2,FALSE))=TRUE,0,VLOOKUP(K32,Codes!A$3:B$19,2,FALSE))</f>
        <v>0</v>
      </c>
      <c r="E32" s="72"/>
      <c r="F32" s="74"/>
      <c r="G32" s="103"/>
      <c r="H32" s="102">
        <f t="shared" si="0"/>
        <v>0</v>
      </c>
      <c r="I32" s="105">
        <f t="shared" si="1"/>
        <v>0</v>
      </c>
      <c r="J32" s="6"/>
      <c r="K32" s="75"/>
    </row>
    <row r="33" spans="1:11" s="4" customFormat="1" x14ac:dyDescent="0.3">
      <c r="A33" s="18">
        <v>35</v>
      </c>
      <c r="B33" s="71"/>
      <c r="C33" s="72"/>
      <c r="D33" s="8">
        <f>IF(ISNA(VLOOKUP(K33,Codes!A$3:B$19,2,FALSE))=TRUE,0,VLOOKUP(K33,Codes!A$3:B$19,2,FALSE))</f>
        <v>0</v>
      </c>
      <c r="E33" s="72"/>
      <c r="F33" s="74"/>
      <c r="G33" s="103"/>
      <c r="H33" s="102">
        <f t="shared" si="0"/>
        <v>0</v>
      </c>
      <c r="I33" s="105">
        <f t="shared" si="1"/>
        <v>0</v>
      </c>
      <c r="J33" s="6"/>
      <c r="K33" s="75"/>
    </row>
    <row r="34" spans="1:11" s="4" customFormat="1" x14ac:dyDescent="0.3">
      <c r="A34" s="18">
        <v>36</v>
      </c>
      <c r="B34" s="71"/>
      <c r="C34" s="72"/>
      <c r="D34" s="8">
        <f>IF(ISNA(VLOOKUP(K34,Codes!A$3:B$19,2,FALSE))=TRUE,0,VLOOKUP(K34,Codes!A$3:B$19,2,FALSE))</f>
        <v>0</v>
      </c>
      <c r="E34" s="72"/>
      <c r="F34" s="74"/>
      <c r="G34" s="103"/>
      <c r="H34" s="102">
        <f t="shared" si="0"/>
        <v>0</v>
      </c>
      <c r="I34" s="105">
        <f t="shared" si="1"/>
        <v>0</v>
      </c>
      <c r="J34" s="6"/>
      <c r="K34" s="75"/>
    </row>
    <row r="35" spans="1:11" s="4" customFormat="1" x14ac:dyDescent="0.3">
      <c r="A35" s="18">
        <v>37</v>
      </c>
      <c r="B35" s="71"/>
      <c r="C35" s="72"/>
      <c r="D35" s="8">
        <f>IF(ISNA(VLOOKUP(K35,Codes!A$3:B$19,2,FALSE))=TRUE,0,VLOOKUP(K35,Codes!A$3:B$19,2,FALSE))</f>
        <v>0</v>
      </c>
      <c r="E35" s="72"/>
      <c r="F35" s="74"/>
      <c r="G35" s="103"/>
      <c r="H35" s="102">
        <f t="shared" si="0"/>
        <v>0</v>
      </c>
      <c r="I35" s="105">
        <f t="shared" si="1"/>
        <v>0</v>
      </c>
      <c r="J35" s="6"/>
      <c r="K35" s="75"/>
    </row>
    <row r="36" spans="1:11" s="4" customFormat="1" x14ac:dyDescent="0.3">
      <c r="A36" s="18">
        <v>38</v>
      </c>
      <c r="B36" s="71"/>
      <c r="C36" s="72"/>
      <c r="D36" s="8">
        <f>IF(ISNA(VLOOKUP(K36,Codes!A$3:B$19,2,FALSE))=TRUE,0,VLOOKUP(K36,Codes!A$3:B$19,2,FALSE))</f>
        <v>0</v>
      </c>
      <c r="E36" s="72"/>
      <c r="F36" s="74"/>
      <c r="G36" s="103"/>
      <c r="H36" s="102">
        <f t="shared" si="0"/>
        <v>0</v>
      </c>
      <c r="I36" s="105">
        <f t="shared" si="1"/>
        <v>0</v>
      </c>
      <c r="J36" s="6"/>
      <c r="K36" s="75"/>
    </row>
    <row r="37" spans="1:11" s="4" customFormat="1" x14ac:dyDescent="0.3">
      <c r="A37" s="18">
        <v>39</v>
      </c>
      <c r="B37" s="71"/>
      <c r="C37" s="72"/>
      <c r="D37" s="8">
        <f>IF(ISNA(VLOOKUP(K37,Codes!A$3:B$19,2,FALSE))=TRUE,0,VLOOKUP(K37,Codes!A$3:B$19,2,FALSE))</f>
        <v>0</v>
      </c>
      <c r="E37" s="72"/>
      <c r="F37" s="74"/>
      <c r="G37" s="103"/>
      <c r="H37" s="102">
        <f t="shared" si="0"/>
        <v>0</v>
      </c>
      <c r="I37" s="105">
        <f t="shared" si="1"/>
        <v>0</v>
      </c>
      <c r="J37" s="6"/>
      <c r="K37" s="75"/>
    </row>
    <row r="38" spans="1:11" s="4" customFormat="1" x14ac:dyDescent="0.3">
      <c r="A38" s="18">
        <v>40</v>
      </c>
      <c r="B38" s="71"/>
      <c r="C38" s="72"/>
      <c r="D38" s="8">
        <f>IF(ISNA(VLOOKUP(K38,Codes!A$3:B$19,2,FALSE))=TRUE,0,VLOOKUP(K38,Codes!A$3:B$19,2,FALSE))</f>
        <v>0</v>
      </c>
      <c r="E38" s="72"/>
      <c r="F38" s="74"/>
      <c r="G38" s="103"/>
      <c r="H38" s="102">
        <f t="shared" si="0"/>
        <v>0</v>
      </c>
      <c r="I38" s="105">
        <f t="shared" si="1"/>
        <v>0</v>
      </c>
      <c r="J38" s="6"/>
      <c r="K38" s="75"/>
    </row>
    <row r="39" spans="1:11" s="4" customFormat="1" x14ac:dyDescent="0.3">
      <c r="A39" s="18">
        <v>41</v>
      </c>
      <c r="B39" s="71"/>
      <c r="C39" s="72"/>
      <c r="D39" s="8">
        <f>IF(ISNA(VLOOKUP(K39,Codes!A$3:B$19,2,FALSE))=TRUE,0,VLOOKUP(K39,Codes!A$3:B$19,2,FALSE))</f>
        <v>0</v>
      </c>
      <c r="E39" s="72"/>
      <c r="F39" s="74"/>
      <c r="G39" s="103"/>
      <c r="H39" s="102">
        <f t="shared" si="0"/>
        <v>0</v>
      </c>
      <c r="I39" s="105">
        <f t="shared" si="1"/>
        <v>0</v>
      </c>
      <c r="J39" s="6"/>
      <c r="K39" s="75"/>
    </row>
    <row r="40" spans="1:11" s="4" customFormat="1" x14ac:dyDescent="0.3">
      <c r="A40" s="18">
        <v>42</v>
      </c>
      <c r="B40" s="71"/>
      <c r="C40" s="72"/>
      <c r="D40" s="8">
        <f>IF(ISNA(VLOOKUP(K40,Codes!A$3:B$19,2,FALSE))=TRUE,0,VLOOKUP(K40,Codes!A$3:B$19,2,FALSE))</f>
        <v>0</v>
      </c>
      <c r="E40" s="72"/>
      <c r="F40" s="74"/>
      <c r="G40" s="103"/>
      <c r="H40" s="102">
        <f t="shared" si="0"/>
        <v>0</v>
      </c>
      <c r="I40" s="105">
        <f t="shared" si="1"/>
        <v>0</v>
      </c>
      <c r="J40" s="6"/>
      <c r="K40" s="75"/>
    </row>
    <row r="41" spans="1:11" s="4" customFormat="1" x14ac:dyDescent="0.3">
      <c r="A41" s="18">
        <v>43</v>
      </c>
      <c r="B41" s="71"/>
      <c r="C41" s="72"/>
      <c r="D41" s="8">
        <f>IF(ISNA(VLOOKUP(K41,Codes!A$3:B$19,2,FALSE))=TRUE,0,VLOOKUP(K41,Codes!A$3:B$19,2,FALSE))</f>
        <v>0</v>
      </c>
      <c r="E41" s="72"/>
      <c r="F41" s="74"/>
      <c r="G41" s="103"/>
      <c r="H41" s="102">
        <f t="shared" si="0"/>
        <v>0</v>
      </c>
      <c r="I41" s="105">
        <f t="shared" si="1"/>
        <v>0</v>
      </c>
      <c r="J41" s="6"/>
      <c r="K41" s="75"/>
    </row>
    <row r="42" spans="1:11" s="4" customFormat="1" x14ac:dyDescent="0.3">
      <c r="A42" s="18">
        <v>44</v>
      </c>
      <c r="B42" s="71"/>
      <c r="C42" s="72"/>
      <c r="D42" s="8">
        <f>IF(ISNA(VLOOKUP(K42,Codes!A$3:B$19,2,FALSE))=TRUE,0,VLOOKUP(K42,Codes!A$3:B$19,2,FALSE))</f>
        <v>0</v>
      </c>
      <c r="E42" s="72"/>
      <c r="F42" s="74"/>
      <c r="G42" s="103"/>
      <c r="H42" s="102">
        <f t="shared" si="0"/>
        <v>0</v>
      </c>
      <c r="I42" s="105">
        <f t="shared" si="1"/>
        <v>0</v>
      </c>
      <c r="J42" s="6"/>
      <c r="K42" s="75"/>
    </row>
    <row r="43" spans="1:11" s="4" customFormat="1" x14ac:dyDescent="0.3">
      <c r="A43" s="18">
        <v>45</v>
      </c>
      <c r="B43" s="71"/>
      <c r="C43" s="72"/>
      <c r="D43" s="8">
        <f>IF(ISNA(VLOOKUP(K43,Codes!A$3:B$19,2,FALSE))=TRUE,0,VLOOKUP(K43,Codes!A$3:B$19,2,FALSE))</f>
        <v>0</v>
      </c>
      <c r="E43" s="72"/>
      <c r="F43" s="74"/>
      <c r="G43" s="103"/>
      <c r="H43" s="102">
        <f t="shared" si="0"/>
        <v>0</v>
      </c>
      <c r="I43" s="105">
        <f t="shared" si="1"/>
        <v>0</v>
      </c>
      <c r="J43" s="6"/>
      <c r="K43" s="75"/>
    </row>
    <row r="44" spans="1:11" s="4" customFormat="1" x14ac:dyDescent="0.3">
      <c r="A44" s="18">
        <v>46</v>
      </c>
      <c r="B44" s="71"/>
      <c r="C44" s="72"/>
      <c r="D44" s="8">
        <f>IF(ISNA(VLOOKUP(K44,Codes!A$3:B$19,2,FALSE))=TRUE,0,VLOOKUP(K44,Codes!A$3:B$19,2,FALSE))</f>
        <v>0</v>
      </c>
      <c r="E44" s="72"/>
      <c r="F44" s="74"/>
      <c r="G44" s="103"/>
      <c r="H44" s="102">
        <f t="shared" si="0"/>
        <v>0</v>
      </c>
      <c r="I44" s="105">
        <f t="shared" si="1"/>
        <v>0</v>
      </c>
      <c r="J44" s="6"/>
      <c r="K44" s="75"/>
    </row>
    <row r="45" spans="1:11" s="4" customFormat="1" x14ac:dyDescent="0.3">
      <c r="A45" s="18">
        <v>47</v>
      </c>
      <c r="B45" s="71"/>
      <c r="C45" s="72"/>
      <c r="D45" s="8">
        <f>IF(ISNA(VLOOKUP(K45,Codes!A$3:B$19,2,FALSE))=TRUE,0,VLOOKUP(K45,Codes!A$3:B$19,2,FALSE))</f>
        <v>0</v>
      </c>
      <c r="E45" s="72"/>
      <c r="F45" s="74"/>
      <c r="G45" s="103"/>
      <c r="H45" s="102">
        <f t="shared" si="0"/>
        <v>0</v>
      </c>
      <c r="I45" s="105">
        <f t="shared" si="1"/>
        <v>0</v>
      </c>
      <c r="J45" s="6"/>
      <c r="K45" s="75"/>
    </row>
    <row r="46" spans="1:11" s="4" customFormat="1" x14ac:dyDescent="0.3">
      <c r="A46" s="18">
        <v>48</v>
      </c>
      <c r="B46" s="71"/>
      <c r="C46" s="72"/>
      <c r="D46" s="8">
        <f>IF(ISNA(VLOOKUP(K46,Codes!A$3:B$19,2,FALSE))=TRUE,0,VLOOKUP(K46,Codes!A$3:B$19,2,FALSE))</f>
        <v>0</v>
      </c>
      <c r="E46" s="72"/>
      <c r="F46" s="74"/>
      <c r="G46" s="103"/>
      <c r="H46" s="102">
        <f t="shared" si="0"/>
        <v>0</v>
      </c>
      <c r="I46" s="105">
        <f t="shared" si="1"/>
        <v>0</v>
      </c>
      <c r="J46" s="6"/>
      <c r="K46" s="75"/>
    </row>
    <row r="47" spans="1:11" s="4" customFormat="1" x14ac:dyDescent="0.3">
      <c r="A47" s="18">
        <v>49</v>
      </c>
      <c r="B47" s="71"/>
      <c r="C47" s="72"/>
      <c r="D47" s="8">
        <f>IF(ISNA(VLOOKUP(K47,Codes!A$3:B$19,2,FALSE))=TRUE,0,VLOOKUP(K47,Codes!A$3:B$19,2,FALSE))</f>
        <v>0</v>
      </c>
      <c r="E47" s="72"/>
      <c r="F47" s="74"/>
      <c r="G47" s="103"/>
      <c r="H47" s="102">
        <f t="shared" si="0"/>
        <v>0</v>
      </c>
      <c r="I47" s="105">
        <f t="shared" si="1"/>
        <v>0</v>
      </c>
      <c r="J47" s="6"/>
      <c r="K47" s="75"/>
    </row>
    <row r="48" spans="1:11" s="4" customFormat="1" ht="14.5" thickBot="1" x14ac:dyDescent="0.35">
      <c r="A48" s="36" t="str">
        <f>+'Expenses  Page 1'!A44</f>
        <v>Total Expenses Page 2</v>
      </c>
      <c r="B48" s="37"/>
      <c r="C48" s="38"/>
      <c r="D48" s="38"/>
      <c r="E48" s="38"/>
      <c r="F48" s="39"/>
      <c r="G48" s="158"/>
      <c r="H48" s="159"/>
      <c r="I48" s="123">
        <f>SUM(I13:I47)</f>
        <v>0</v>
      </c>
      <c r="J48" s="6"/>
      <c r="K48" s="5"/>
    </row>
    <row r="49" spans="1:11" s="4" customFormat="1" ht="6.75" customHeight="1" x14ac:dyDescent="0.3">
      <c r="A49" s="10"/>
      <c r="B49" s="10"/>
      <c r="C49" s="43"/>
      <c r="D49" s="43"/>
      <c r="E49" s="43"/>
      <c r="F49" s="44"/>
      <c r="G49" s="45"/>
      <c r="H49" s="46"/>
      <c r="I49" s="5"/>
      <c r="J49" s="5"/>
      <c r="K49" s="5"/>
    </row>
    <row r="59" spans="1:11" x14ac:dyDescent="0.3">
      <c r="K59" s="29"/>
    </row>
  </sheetData>
  <sheetProtection algorithmName="SHA-512" hashValue="s7iDVbaWQRzpjkhQudzc4JVUCdpdTfhYGH+noFGfgEFLp0uEFSVuSEPiOaKK75KL7ETIZsOR7L22DUpUlgDKdQ==" saltValue="qP15tW9nYOEz5rajpshrjA==" spinCount="100000" sheet="1" formatCells="0" selectLockedCells="1"/>
  <mergeCells count="4">
    <mergeCell ref="C4:I4"/>
    <mergeCell ref="C5:F5"/>
    <mergeCell ref="C7:I7"/>
    <mergeCell ref="C6:I6"/>
  </mergeCells>
  <conditionalFormatting sqref="C8">
    <cfRule type="cellIs" dxfId="3" priority="1" operator="between">
      <formula>0</formula>
      <formula>0</formula>
    </cfRule>
  </conditionalFormatting>
  <conditionalFormatting sqref="C5:F5">
    <cfRule type="cellIs" dxfId="2" priority="4" operator="between">
      <formula>0</formula>
      <formula>0</formula>
    </cfRule>
  </conditionalFormatting>
  <conditionalFormatting sqref="C4:I4">
    <cfRule type="cellIs" dxfId="1" priority="5" operator="between">
      <formula>0</formula>
      <formula>0</formula>
    </cfRule>
  </conditionalFormatting>
  <conditionalFormatting sqref="C6:I7">
    <cfRule type="cellIs" dxfId="0" priority="2" operator="between">
      <formula>0</formula>
      <formula>0</formula>
    </cfRule>
  </conditionalFormatting>
  <dataValidations count="3">
    <dataValidation type="date" allowBlank="1" showInputMessage="1" showErrorMessage="1" sqref="I6" xr:uid="{00000000-0002-0000-0100-000000000000}">
      <formula1>41548</formula1>
      <formula2>73050</formula2>
    </dataValidation>
    <dataValidation type="date" allowBlank="1" showInputMessage="1" showErrorMessage="1" sqref="B13:B47" xr:uid="{00000000-0002-0000-0100-000001000000}">
      <formula1>41640</formula1>
      <formula2>73050</formula2>
    </dataValidation>
    <dataValidation type="date" allowBlank="1" showInputMessage="1" showErrorMessage="1" sqref="I5" xr:uid="{00000000-0002-0000-0100-000002000000}">
      <formula1>41640</formula1>
      <formula2>42004</formula2>
    </dataValidation>
  </dataValidations>
  <pageMargins left="0.70866141732283472" right="0.31496062992125984" top="0.74803149606299213" bottom="0.35433070866141736" header="0.31496062992125984" footer="0.31496062992125984"/>
  <pageSetup paperSize="9" scale="80" orientation="portrait" r:id="rId1"/>
  <headerFooter>
    <oddFooter>&amp;R&amp;"Arial,Standard"&amp;9Bill of Expenses / ADMIN / Version  2015-02-26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3000000}">
          <x14:formula1>
            <xm:f>Codes!$A$3:$A$19</xm:f>
          </x14:formula1>
          <xm:sqref>K13:K47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L72"/>
  <sheetViews>
    <sheetView topLeftCell="A18" zoomScale="90" zoomScaleNormal="90" zoomScaleSheetLayoutView="90" workbookViewId="0">
      <selection activeCell="K14" sqref="K14"/>
    </sheetView>
  </sheetViews>
  <sheetFormatPr defaultColWidth="9.1796875" defaultRowHeight="14" x14ac:dyDescent="0.3"/>
  <cols>
    <col min="1" max="1" width="3.81640625" style="1" customWidth="1"/>
    <col min="2" max="2" width="10.54296875" style="1" customWidth="1"/>
    <col min="3" max="3" width="38.26953125" style="1" customWidth="1"/>
    <col min="4" max="4" width="11.54296875" style="1" customWidth="1"/>
    <col min="5" max="5" width="17.453125" style="1" customWidth="1"/>
    <col min="6" max="6" width="8.1796875" style="2" customWidth="1"/>
    <col min="7" max="7" width="13.7265625" style="6" customWidth="1"/>
    <col min="8" max="8" width="10.453125" style="6" customWidth="1"/>
    <col min="9" max="9" width="36.1796875" style="6" customWidth="1"/>
    <col min="10" max="10" width="3.1796875" style="6" customWidth="1"/>
    <col min="11" max="11" width="77.54296875" style="1" customWidth="1"/>
    <col min="12" max="16384" width="9.1796875" style="1"/>
  </cols>
  <sheetData>
    <row r="1" spans="1:11" s="97" customFormat="1" ht="29.25" customHeight="1" x14ac:dyDescent="0.35">
      <c r="A1" s="108" t="s">
        <v>135</v>
      </c>
      <c r="B1" s="109"/>
      <c r="C1" s="109"/>
      <c r="D1" s="109"/>
      <c r="E1" s="109"/>
      <c r="F1" s="110"/>
      <c r="G1" s="163" t="s">
        <v>62</v>
      </c>
      <c r="H1" s="111"/>
      <c r="I1" s="111"/>
      <c r="J1" s="98"/>
    </row>
    <row r="2" spans="1:11" s="61" customFormat="1" ht="9.75" customHeight="1" x14ac:dyDescent="0.4">
      <c r="A2" s="60"/>
      <c r="F2" s="62"/>
      <c r="G2" s="63"/>
      <c r="H2" s="63"/>
      <c r="I2" s="63"/>
      <c r="J2" s="63"/>
    </row>
    <row r="3" spans="1:11" s="61" customFormat="1" ht="17.5" x14ac:dyDescent="0.35">
      <c r="F3" s="62"/>
      <c r="G3" s="63"/>
      <c r="H3" s="63"/>
      <c r="I3" s="63"/>
      <c r="J3" s="63"/>
    </row>
    <row r="4" spans="1:11" s="61" customFormat="1" ht="18" x14ac:dyDescent="0.4">
      <c r="A4" s="60" t="str">
        <f>IF($G$1="Deutsch",Codes!$A37,Codes!$B37)</f>
        <v>BILL OF EXPENSES  - FIXED ALLOWANCES</v>
      </c>
      <c r="F4" s="62"/>
      <c r="G4" s="63"/>
      <c r="H4" s="63"/>
      <c r="I4" s="63"/>
      <c r="J4" s="63"/>
    </row>
    <row r="5" spans="1:11" s="61" customFormat="1" ht="18.5" thickBot="1" x14ac:dyDescent="0.45">
      <c r="A5" s="60"/>
      <c r="F5" s="62"/>
      <c r="G5" s="63"/>
      <c r="H5" s="63"/>
      <c r="I5" s="63"/>
      <c r="J5" s="63"/>
    </row>
    <row r="6" spans="1:11" ht="19.5" customHeight="1" x14ac:dyDescent="0.3">
      <c r="A6" s="66" t="str">
        <f>IF($G$1="Deutsch",Codes!$A38,Codes!$B38)</f>
        <v>Documentnr.</v>
      </c>
      <c r="B6" s="64"/>
      <c r="C6" s="247" t="s">
        <v>152</v>
      </c>
      <c r="D6" s="248"/>
      <c r="E6" s="248"/>
      <c r="F6" s="248"/>
      <c r="G6" s="248"/>
      <c r="H6" s="248"/>
      <c r="I6" s="249"/>
    </row>
    <row r="7" spans="1:11" ht="14.5" customHeight="1" x14ac:dyDescent="0.3">
      <c r="A7" s="25" t="str">
        <f>IF($G$1="Deutsch",Codes!$A40,Codes!$B40)</f>
        <v>First name</v>
      </c>
      <c r="B7" s="4"/>
      <c r="C7" s="250" t="s">
        <v>155</v>
      </c>
      <c r="D7" s="251"/>
      <c r="E7" s="251"/>
      <c r="F7" s="252"/>
      <c r="H7" s="67" t="str">
        <f>IF($G$1="Deutsch",Codes!$A47,Codes!$B47)</f>
        <v>Valuta (dd.mm.yyyy)</v>
      </c>
      <c r="I7" s="164" t="s">
        <v>153</v>
      </c>
    </row>
    <row r="8" spans="1:11" ht="31" customHeight="1" x14ac:dyDescent="0.3">
      <c r="A8" s="25" t="str">
        <f>IF($G$1="Deutsch",Codes!$A39,Codes!$B39)</f>
        <v>Last name</v>
      </c>
      <c r="B8" s="4"/>
      <c r="C8" s="253"/>
      <c r="D8" s="254"/>
      <c r="E8" s="254"/>
      <c r="F8" s="255"/>
      <c r="H8" s="7" t="str">
        <f>IF($G$1="Deutsch",Codes!$A88,Codes!$B88)</f>
        <v>Finalised by</v>
      </c>
      <c r="I8" s="165" t="s">
        <v>154</v>
      </c>
    </row>
    <row r="9" spans="1:11" ht="41.15" customHeight="1" x14ac:dyDescent="0.3">
      <c r="A9" s="25" t="str">
        <f>IF($G$1="Deutsch",Codes!$A41,Codes!$B41)</f>
        <v>Address</v>
      </c>
      <c r="B9" s="4"/>
      <c r="C9" s="253"/>
      <c r="D9" s="254"/>
      <c r="E9" s="254"/>
      <c r="F9" s="255"/>
      <c r="H9" s="7"/>
      <c r="I9" s="68"/>
    </row>
    <row r="10" spans="1:11" ht="39" customHeight="1" x14ac:dyDescent="0.3">
      <c r="A10" s="25" t="str">
        <f>IF($G$1="Deutsch",Codes!$A42,Codes!$B42)</f>
        <v>ZIP/Place</v>
      </c>
      <c r="B10" s="4"/>
      <c r="C10" s="256"/>
      <c r="D10" s="257"/>
      <c r="E10" s="257"/>
      <c r="F10" s="258"/>
      <c r="H10" s="7"/>
      <c r="I10" s="68"/>
    </row>
    <row r="11" spans="1:11" ht="28" customHeight="1" x14ac:dyDescent="0.3">
      <c r="A11" s="25" t="str">
        <f>IF($G$1="Deutsch",Codes!$A43,Codes!$B43)</f>
        <v>Mission/Purpose</v>
      </c>
      <c r="B11" s="4"/>
      <c r="C11" s="247" t="s">
        <v>156</v>
      </c>
      <c r="D11" s="248"/>
      <c r="E11" s="248"/>
      <c r="F11" s="248"/>
      <c r="G11" s="248"/>
      <c r="H11" s="248"/>
      <c r="I11" s="249"/>
    </row>
    <row r="12" spans="1:11" ht="28" customHeight="1" x14ac:dyDescent="0.4">
      <c r="A12" s="25" t="str">
        <f>IF($G$1="Deutsch",Codes!$A44,Codes!$B44)</f>
        <v>Cost centre</v>
      </c>
      <c r="B12" s="4"/>
      <c r="C12" s="166" t="s">
        <v>141</v>
      </c>
      <c r="F12" s="7" t="str">
        <f>IF($G$1="Deutsch",Codes!$A48,Codes!$B48)</f>
        <v>Currency (for payment)</v>
      </c>
      <c r="G12" s="167" t="s">
        <v>18</v>
      </c>
      <c r="H12" s="1"/>
      <c r="I12" s="35"/>
    </row>
    <row r="13" spans="1:11" s="4" customFormat="1" x14ac:dyDescent="0.3">
      <c r="A13" s="25" t="str">
        <f>IF($G$1="Deutsch",Codes!$A45,Codes!$B45)</f>
        <v>From (date)</v>
      </c>
      <c r="C13" s="168" t="s">
        <v>157</v>
      </c>
      <c r="D13" s="1"/>
      <c r="E13" s="1"/>
      <c r="F13" s="7" t="str">
        <f>IF($G$1="Deutsch",Codes!$A49,Codes!$B49)</f>
        <v>To (date)</v>
      </c>
      <c r="G13" s="259" t="s">
        <v>157</v>
      </c>
      <c r="H13" s="260"/>
      <c r="I13" s="261"/>
      <c r="J13" s="5"/>
      <c r="K13" s="5"/>
    </row>
    <row r="14" spans="1:11" s="4" customFormat="1" ht="26.5" thickBot="1" x14ac:dyDescent="0.4">
      <c r="A14" s="27" t="str">
        <f>IF($G$1="Deutsch",Codes!$A46,Codes!$B46)</f>
        <v xml:space="preserve">Place </v>
      </c>
      <c r="B14" s="28"/>
      <c r="C14" s="169" t="s">
        <v>142</v>
      </c>
      <c r="D14" s="28"/>
      <c r="E14" s="28"/>
      <c r="F14" s="90" t="str">
        <f>IF($G$1="Deutsch",Codes!$A50,Codes!$B50)</f>
        <v>Country</v>
      </c>
      <c r="G14" s="262" t="s">
        <v>158</v>
      </c>
      <c r="H14" s="263"/>
      <c r="I14" s="264"/>
      <c r="J14" s="6"/>
    </row>
    <row r="15" spans="1:11" s="4" customFormat="1" ht="6.75" customHeight="1" thickBot="1" x14ac:dyDescent="0.35">
      <c r="C15" s="5"/>
      <c r="D15" s="5"/>
      <c r="E15" s="5"/>
      <c r="F15" s="3"/>
      <c r="G15" s="7"/>
      <c r="H15" s="7"/>
      <c r="I15" s="7"/>
      <c r="J15" s="6"/>
      <c r="K15" s="5"/>
    </row>
    <row r="16" spans="1:11" s="4" customFormat="1" ht="17.25" customHeight="1" x14ac:dyDescent="0.3">
      <c r="A16" s="15" t="str">
        <f>IF($G$1="Deutsch",Codes!$A51,Codes!$B51)</f>
        <v>FIXED ALLOWANCES</v>
      </c>
      <c r="B16" s="21"/>
      <c r="C16" s="22"/>
      <c r="D16" s="170" t="s">
        <v>71</v>
      </c>
      <c r="E16" s="76" t="str">
        <f>IF($G$1="Deutsch",Codes!$A52,Codes!$B52)</f>
        <v xml:space="preserve">      Applicable (please select YES or NO)</v>
      </c>
      <c r="F16" s="23"/>
      <c r="G16" s="23"/>
      <c r="H16" s="23"/>
      <c r="I16" s="24"/>
      <c r="J16" s="6"/>
      <c r="K16" s="5"/>
    </row>
    <row r="17" spans="1:11" s="4" customFormat="1" ht="29.5" customHeight="1" x14ac:dyDescent="0.3">
      <c r="A17" s="25" t="str">
        <f>IF($G$1="Deutsch",Codes!$A53,Codes!$B53)</f>
        <v>Lump sum per day</v>
      </c>
      <c r="C17" s="5"/>
      <c r="D17" s="265" t="s">
        <v>143</v>
      </c>
      <c r="E17" s="265"/>
      <c r="F17" s="265"/>
      <c r="G17" s="265"/>
      <c r="H17" s="265"/>
      <c r="I17" s="266"/>
      <c r="J17" s="6"/>
      <c r="K17" s="5"/>
    </row>
    <row r="18" spans="1:11" s="4" customFormat="1" ht="14.5" x14ac:dyDescent="0.35">
      <c r="A18" s="238" t="str">
        <f>IF($G$1="Deutsch",Codes!$A54,Codes!$B54)</f>
        <v>Disbursement</v>
      </c>
      <c r="B18" s="218" t="str">
        <f>IF($G$1="Deutsch",Codes!$A54,Codes!$B54)</f>
        <v>Disbursement</v>
      </c>
      <c r="C18" s="218" t="str">
        <f>IF($G$1="Deutsch",Codes!$A54,Codes!$B54)</f>
        <v>Disbursement</v>
      </c>
      <c r="D18" s="218" t="str">
        <f>IF($G$1="Deutsch",Codes!$A54,Codes!$B54)</f>
        <v>Disbursement</v>
      </c>
      <c r="E18" s="239" t="str">
        <f>IF($G$1="Deutsch",Codes!$A54,Codes!$B54)</f>
        <v>Disbursement</v>
      </c>
      <c r="F18" s="32" t="str">
        <f>IF($G$1="Deutsch",Codes!$A55,Codes!$B55)</f>
        <v>Quantity</v>
      </c>
      <c r="G18" s="32" t="str">
        <f>IF($G$1="Deutsch",Codes!$A56,Codes!$B56)</f>
        <v>Budget line</v>
      </c>
      <c r="H18" s="33" t="str">
        <f>IF($G$1="Deutsch",Codes!$A57,Codes!$B57)</f>
        <v>Amount</v>
      </c>
      <c r="I18" s="34" t="str">
        <f>IF($G$1="Deutsch",Codes!$A58,Codes!$B58)</f>
        <v>Amount CHF</v>
      </c>
      <c r="J18" s="6"/>
    </row>
    <row r="19" spans="1:11" s="4" customFormat="1" ht="24.75" customHeight="1" x14ac:dyDescent="0.35">
      <c r="A19" s="217" t="str">
        <f>IF($G$1="Deutsch",Codes!$A59,Codes!$B59)</f>
        <v>Breakfast</v>
      </c>
      <c r="B19" s="218" t="str">
        <f>IF($G$1="Deutsch",Codes!$A55,Codes!$B55)</f>
        <v>Quantity</v>
      </c>
      <c r="C19" s="237" t="str">
        <f>IF($G$1="Deutsch",Codes!$A62,Codes!$B62)</f>
        <v>If departures is before 7.30 am or respectively with overnight stay (only in case breakfast is not included)</v>
      </c>
      <c r="D19" s="218"/>
      <c r="E19" s="219"/>
      <c r="F19" s="171">
        <v>0</v>
      </c>
      <c r="G19" s="172"/>
      <c r="H19" s="9">
        <v>10</v>
      </c>
      <c r="I19" s="26">
        <f>IF(D$16="NO",0,IF(D$16="NEIN",0,+F19*H19))</f>
        <v>0</v>
      </c>
      <c r="J19" s="6"/>
    </row>
    <row r="20" spans="1:11" s="4" customFormat="1" ht="14.5" x14ac:dyDescent="0.35">
      <c r="A20" s="217" t="str">
        <f>IF($G$1="Deutsch",Codes!$A60,Codes!$B60)</f>
        <v>Lunch</v>
      </c>
      <c r="B20" s="218" t="str">
        <f>IF($G$1="Deutsch",Codes!$A56,Codes!$B56)</f>
        <v>Budget line</v>
      </c>
      <c r="C20" s="237"/>
      <c r="D20" s="218"/>
      <c r="E20" s="219"/>
      <c r="F20" s="171">
        <v>0</v>
      </c>
      <c r="G20" s="172"/>
      <c r="H20" s="9">
        <v>25</v>
      </c>
      <c r="I20" s="26">
        <f t="shared" ref="I20:I22" si="0">IF(D$16="NO",0,IF(D$16="NEIN",0,+F20*H20))</f>
        <v>0</v>
      </c>
      <c r="J20" s="6"/>
    </row>
    <row r="21" spans="1:11" s="4" customFormat="1" ht="14.5" x14ac:dyDescent="0.35">
      <c r="A21" s="217" t="str">
        <f>IF($G$1="Deutsch",Codes!$A61,Codes!$B61)</f>
        <v>Dinner</v>
      </c>
      <c r="B21" s="218" t="str">
        <f>IF($G$1="Deutsch",Codes!$A57,Codes!$B57)</f>
        <v>Amount</v>
      </c>
      <c r="C21" s="237" t="str">
        <f>IF($G$1="Deutsch",Codes!$A63,Codes!$B63)</f>
        <v>In case of external overnight stay or return after 7.30 pm</v>
      </c>
      <c r="D21" s="218"/>
      <c r="E21" s="219"/>
      <c r="F21" s="171">
        <v>0</v>
      </c>
      <c r="G21" s="172"/>
      <c r="H21" s="9">
        <v>25</v>
      </c>
      <c r="I21" s="26">
        <f t="shared" si="0"/>
        <v>0</v>
      </c>
      <c r="J21" s="6"/>
    </row>
    <row r="22" spans="1:11" s="4" customFormat="1" ht="14.5" x14ac:dyDescent="0.35">
      <c r="A22" s="217" t="s">
        <v>159</v>
      </c>
      <c r="B22" s="218"/>
      <c r="C22" s="218"/>
      <c r="D22" s="218"/>
      <c r="E22" s="219"/>
      <c r="F22" s="171">
        <v>0</v>
      </c>
      <c r="G22" s="172"/>
      <c r="H22" s="9">
        <v>5</v>
      </c>
      <c r="I22" s="26">
        <f t="shared" si="0"/>
        <v>0</v>
      </c>
      <c r="J22" s="6"/>
    </row>
    <row r="23" spans="1:11" s="4" customFormat="1" ht="14.5" thickBot="1" x14ac:dyDescent="0.35">
      <c r="A23" s="36" t="str">
        <f>IF($G$1="Deutsch",Codes!$A65,Codes!$B65)</f>
        <v>TOTAL FIXED ALLOWANCES</v>
      </c>
      <c r="B23" s="37"/>
      <c r="C23" s="38"/>
      <c r="D23" s="38"/>
      <c r="E23" s="38"/>
      <c r="F23" s="39"/>
      <c r="G23" s="40"/>
      <c r="H23" s="41"/>
      <c r="I23" s="42">
        <f>SUM(I19:I22)</f>
        <v>0</v>
      </c>
      <c r="J23" s="6"/>
      <c r="K23" s="5"/>
    </row>
    <row r="24" spans="1:11" s="4" customFormat="1" ht="27" customHeight="1" thickBot="1" x14ac:dyDescent="0.35">
      <c r="A24" s="86"/>
      <c r="B24" s="87"/>
      <c r="C24" s="87"/>
      <c r="D24" s="87"/>
      <c r="E24" s="88"/>
      <c r="F24" s="88" t="str">
        <f>IF($G$1="Deutsch",Codes!$A66,Codes!$B66)</f>
        <v>Exchange rate (filled in by Accounting)</v>
      </c>
      <c r="G24" s="96">
        <f>IF(G12="CHF",1," ")</f>
        <v>1</v>
      </c>
      <c r="H24" s="91" t="str">
        <f>+G12</f>
        <v>CHF</v>
      </c>
      <c r="I24" s="89">
        <f>IF(G12="CHF",I23," ")</f>
        <v>0</v>
      </c>
      <c r="J24" s="6"/>
      <c r="K24" s="5"/>
    </row>
    <row r="25" spans="1:11" s="4" customFormat="1" ht="9.75" customHeight="1" thickBot="1" x14ac:dyDescent="0.35">
      <c r="A25" s="10"/>
      <c r="B25" s="10"/>
      <c r="C25" s="43"/>
      <c r="D25" s="43"/>
      <c r="E25" s="43"/>
      <c r="F25" s="44"/>
      <c r="G25" s="45"/>
      <c r="H25" s="46"/>
      <c r="I25" s="46"/>
      <c r="J25" s="6"/>
      <c r="K25" s="5"/>
    </row>
    <row r="26" spans="1:11" ht="14.5" thickBot="1" x14ac:dyDescent="0.35">
      <c r="A26" s="15" t="str">
        <f>IF($G$1="Deutsch",Codes!$A67,Codes!$B67)</f>
        <v>EXPENSES</v>
      </c>
      <c r="B26" s="16"/>
      <c r="C26" s="16"/>
      <c r="D26" s="16"/>
      <c r="E26" s="16"/>
      <c r="F26" s="17"/>
      <c r="G26" s="11"/>
      <c r="H26" s="11"/>
      <c r="I26" s="12"/>
    </row>
    <row r="27" spans="1:11" s="10" customFormat="1" x14ac:dyDescent="0.3">
      <c r="A27" s="30" t="str">
        <f>IF($G$1="Deutsch",Codes!$A68,Codes!$B68)</f>
        <v>No</v>
      </c>
      <c r="B27" s="31" t="str">
        <f>IF($G$1="Deutsch",Codes!$A69,Codes!$B69)</f>
        <v>Date</v>
      </c>
      <c r="C27" s="31" t="str">
        <f>IF($G$1="Deutsch",Codes!$A70,Codes!$B70)</f>
        <v>Disbursement</v>
      </c>
      <c r="D27" s="33" t="str">
        <f>IF($G$1="Deutsch",Codes!$A71,Codes!$B71)</f>
        <v>Acc.code</v>
      </c>
      <c r="E27" s="101" t="str">
        <f>IF($G$1="Deutsch",Codes!$A56,Codes!$B56)</f>
        <v>Budget line</v>
      </c>
      <c r="F27" s="32" t="str">
        <f>IF($G$1="Deutsch",Codes!$A72,Codes!$B72)</f>
        <v>Currency</v>
      </c>
      <c r="G27" s="113" t="str">
        <f>IF($G$1="Deutsch",Codes!$A73,Codes!$B73)</f>
        <v>Amount</v>
      </c>
      <c r="H27" s="113" t="str">
        <f>IF($G$1="Deutsch",Codes!$A74,Codes!$B74)</f>
        <v>Rate</v>
      </c>
      <c r="I27" s="114" t="str">
        <f>IF($G$1="Deutsch",CONCATENATE(Codes!$A75," ",G$12),CONCATENATE(Codes!$B75," ",G$12))</f>
        <v>Amount  CHF</v>
      </c>
      <c r="J27" s="6"/>
      <c r="K27" s="14" t="str">
        <f>IF($G$1="Deutsch",Codes!$A76,Codes!$B76)</f>
        <v>Account</v>
      </c>
    </row>
    <row r="28" spans="1:11" s="4" customFormat="1" ht="81.650000000000006" customHeight="1" x14ac:dyDescent="0.3">
      <c r="A28" s="18">
        <v>1</v>
      </c>
      <c r="B28" s="173" t="s">
        <v>144</v>
      </c>
      <c r="C28" s="174" t="s">
        <v>145</v>
      </c>
      <c r="D28" s="175" t="s">
        <v>146</v>
      </c>
      <c r="E28" s="174" t="s">
        <v>147</v>
      </c>
      <c r="F28" s="176" t="s">
        <v>18</v>
      </c>
      <c r="G28" s="177">
        <v>0</v>
      </c>
      <c r="H28" s="178">
        <f>IF(F28=$H$24,1,0)</f>
        <v>1</v>
      </c>
      <c r="I28" s="105">
        <f>IF(H28&lt;&gt;0,INT(20*(+G28*H28)+0.5)/20,0)</f>
        <v>0</v>
      </c>
      <c r="J28" s="6"/>
      <c r="K28" s="179"/>
    </row>
    <row r="29" spans="1:11" s="4" customFormat="1" x14ac:dyDescent="0.3">
      <c r="A29" s="18">
        <v>2</v>
      </c>
      <c r="B29" s="180"/>
      <c r="C29" s="172"/>
      <c r="D29" s="8">
        <f>IF(ISNA(VLOOKUP(K29,Codes!A$3:B$19,2,FALSE))=TRUE,0,VLOOKUP(K29,Codes!A$3:B$19,2,FALSE))</f>
        <v>0</v>
      </c>
      <c r="E29" s="172"/>
      <c r="F29" s="176"/>
      <c r="G29" s="177"/>
      <c r="H29" s="178">
        <f t="shared" ref="H29:H41" si="1">IF(F29=$H$24,1,0)</f>
        <v>0</v>
      </c>
      <c r="I29" s="105">
        <f t="shared" ref="I29:I41" si="2">IF(H29&lt;&gt;0,INT(20*(+G29*H29)+0.5)/20,0)</f>
        <v>0</v>
      </c>
      <c r="J29" s="6"/>
      <c r="K29" s="179"/>
    </row>
    <row r="30" spans="1:11" s="4" customFormat="1" x14ac:dyDescent="0.3">
      <c r="A30" s="18">
        <v>3</v>
      </c>
      <c r="B30" s="180"/>
      <c r="C30" s="172"/>
      <c r="D30" s="8">
        <f>IF(ISNA(VLOOKUP(K30,Codes!A$3:B$19,2,FALSE))=TRUE,0,VLOOKUP(K30,Codes!A$3:B$19,2,FALSE))</f>
        <v>0</v>
      </c>
      <c r="E30" s="172"/>
      <c r="F30" s="176"/>
      <c r="G30" s="177"/>
      <c r="H30" s="178">
        <f t="shared" si="1"/>
        <v>0</v>
      </c>
      <c r="I30" s="105">
        <f t="shared" si="2"/>
        <v>0</v>
      </c>
      <c r="J30" s="6"/>
      <c r="K30" s="179"/>
    </row>
    <row r="31" spans="1:11" s="4" customFormat="1" x14ac:dyDescent="0.3">
      <c r="A31" s="18">
        <v>4</v>
      </c>
      <c r="B31" s="180"/>
      <c r="C31" s="172"/>
      <c r="D31" s="8">
        <f>IF(ISNA(VLOOKUP(K31,Codes!A$3:B$19,2,FALSE))=TRUE,0,VLOOKUP(K31,Codes!A$3:B$19,2,FALSE))</f>
        <v>0</v>
      </c>
      <c r="E31" s="172"/>
      <c r="F31" s="176"/>
      <c r="G31" s="177"/>
      <c r="H31" s="178">
        <f t="shared" si="1"/>
        <v>0</v>
      </c>
      <c r="I31" s="105">
        <f t="shared" si="2"/>
        <v>0</v>
      </c>
      <c r="J31" s="6"/>
      <c r="K31" s="179"/>
    </row>
    <row r="32" spans="1:11" s="4" customFormat="1" x14ac:dyDescent="0.3">
      <c r="A32" s="18">
        <v>5</v>
      </c>
      <c r="B32" s="180"/>
      <c r="C32" s="172"/>
      <c r="D32" s="8">
        <f>IF(ISNA(VLOOKUP(K32,Codes!A$3:B$19,2,FALSE))=TRUE,0,VLOOKUP(K32,Codes!A$3:B$19,2,FALSE))</f>
        <v>0</v>
      </c>
      <c r="E32" s="172"/>
      <c r="F32" s="176"/>
      <c r="G32" s="177"/>
      <c r="H32" s="178">
        <f t="shared" si="1"/>
        <v>0</v>
      </c>
      <c r="I32" s="105">
        <f t="shared" si="2"/>
        <v>0</v>
      </c>
      <c r="J32" s="6"/>
      <c r="K32" s="179"/>
    </row>
    <row r="33" spans="1:12" s="4" customFormat="1" x14ac:dyDescent="0.3">
      <c r="A33" s="18">
        <v>6</v>
      </c>
      <c r="B33" s="180"/>
      <c r="C33" s="172"/>
      <c r="D33" s="8">
        <f>IF(ISNA(VLOOKUP(K33,Codes!A$3:B$19,2,FALSE))=TRUE,0,VLOOKUP(K33,Codes!A$3:B$19,2,FALSE))</f>
        <v>0</v>
      </c>
      <c r="E33" s="172"/>
      <c r="F33" s="176"/>
      <c r="G33" s="177"/>
      <c r="H33" s="178">
        <f t="shared" si="1"/>
        <v>0</v>
      </c>
      <c r="I33" s="105">
        <f t="shared" si="2"/>
        <v>0</v>
      </c>
      <c r="J33" s="6"/>
      <c r="K33" s="179"/>
    </row>
    <row r="34" spans="1:12" s="4" customFormat="1" x14ac:dyDescent="0.3">
      <c r="A34" s="18">
        <v>7</v>
      </c>
      <c r="B34" s="180"/>
      <c r="C34" s="172"/>
      <c r="D34" s="8">
        <f>IF(ISNA(VLOOKUP(K34,Codes!A$3:B$19,2,FALSE))=TRUE,0,VLOOKUP(K34,Codes!A$3:B$19,2,FALSE))</f>
        <v>0</v>
      </c>
      <c r="E34" s="172"/>
      <c r="F34" s="176"/>
      <c r="G34" s="177"/>
      <c r="H34" s="178">
        <f t="shared" si="1"/>
        <v>0</v>
      </c>
      <c r="I34" s="105">
        <f t="shared" si="2"/>
        <v>0</v>
      </c>
      <c r="J34" s="6"/>
      <c r="K34" s="179"/>
    </row>
    <row r="35" spans="1:12" s="4" customFormat="1" x14ac:dyDescent="0.3">
      <c r="A35" s="18">
        <v>8</v>
      </c>
      <c r="B35" s="180"/>
      <c r="C35" s="172"/>
      <c r="D35" s="8">
        <f>IF(ISNA(VLOOKUP(K35,Codes!A$3:B$19,2,FALSE))=TRUE,0,VLOOKUP(K35,Codes!A$3:B$19,2,FALSE))</f>
        <v>0</v>
      </c>
      <c r="E35" s="172"/>
      <c r="F35" s="176"/>
      <c r="G35" s="177"/>
      <c r="H35" s="178">
        <f t="shared" si="1"/>
        <v>0</v>
      </c>
      <c r="I35" s="105">
        <f t="shared" si="2"/>
        <v>0</v>
      </c>
      <c r="J35" s="6"/>
      <c r="K35" s="179"/>
    </row>
    <row r="36" spans="1:12" s="4" customFormat="1" x14ac:dyDescent="0.3">
      <c r="A36" s="18">
        <v>9</v>
      </c>
      <c r="B36" s="180"/>
      <c r="C36" s="172"/>
      <c r="D36" s="55">
        <f>IF(ISNA(VLOOKUP(K36,Codes!A$3:B$19,2,FALSE))=TRUE,0,VLOOKUP(K36,Codes!A$3:B$19,2,FALSE))</f>
        <v>0</v>
      </c>
      <c r="E36" s="172"/>
      <c r="F36" s="176"/>
      <c r="G36" s="177"/>
      <c r="H36" s="178">
        <f t="shared" si="1"/>
        <v>0</v>
      </c>
      <c r="I36" s="105">
        <f t="shared" si="2"/>
        <v>0</v>
      </c>
      <c r="J36" s="6"/>
      <c r="K36" s="179"/>
    </row>
    <row r="37" spans="1:12" s="4" customFormat="1" x14ac:dyDescent="0.3">
      <c r="A37" s="18">
        <v>10</v>
      </c>
      <c r="B37" s="180"/>
      <c r="C37" s="172"/>
      <c r="D37" s="8">
        <f>IF(ISNA(VLOOKUP(K37,Codes!A$3:B$19,2,FALSE))=TRUE,0,VLOOKUP(K37,Codes!A$3:B$19,2,FALSE))</f>
        <v>0</v>
      </c>
      <c r="E37" s="172"/>
      <c r="F37" s="176"/>
      <c r="G37" s="177"/>
      <c r="H37" s="178">
        <f t="shared" si="1"/>
        <v>0</v>
      </c>
      <c r="I37" s="105">
        <f t="shared" si="2"/>
        <v>0</v>
      </c>
      <c r="J37" s="6"/>
      <c r="K37" s="179"/>
    </row>
    <row r="38" spans="1:12" s="4" customFormat="1" x14ac:dyDescent="0.3">
      <c r="A38" s="18">
        <v>11</v>
      </c>
      <c r="B38" s="180"/>
      <c r="C38" s="172"/>
      <c r="D38" s="8">
        <f>IF(ISNA(VLOOKUP(K38,Codes!A$3:B$19,2,FALSE))=TRUE,0,VLOOKUP(K38,Codes!A$3:B$19,2,FALSE))</f>
        <v>0</v>
      </c>
      <c r="E38" s="172"/>
      <c r="F38" s="176"/>
      <c r="G38" s="177"/>
      <c r="H38" s="178">
        <f t="shared" si="1"/>
        <v>0</v>
      </c>
      <c r="I38" s="105">
        <f t="shared" si="2"/>
        <v>0</v>
      </c>
      <c r="J38" s="6"/>
      <c r="K38" s="179"/>
    </row>
    <row r="39" spans="1:12" s="4" customFormat="1" x14ac:dyDescent="0.3">
      <c r="A39" s="18">
        <v>12</v>
      </c>
      <c r="B39" s="180"/>
      <c r="C39" s="172"/>
      <c r="D39" s="8">
        <f>IF(ISNA(VLOOKUP(K39,Codes!A$3:B$19,2,FALSE))=TRUE,0,VLOOKUP(K39,Codes!A$3:B$19,2,FALSE))</f>
        <v>0</v>
      </c>
      <c r="E39" s="172"/>
      <c r="F39" s="176"/>
      <c r="G39" s="177"/>
      <c r="H39" s="178">
        <f t="shared" si="1"/>
        <v>0</v>
      </c>
      <c r="I39" s="105">
        <f t="shared" si="2"/>
        <v>0</v>
      </c>
      <c r="J39" s="6"/>
      <c r="K39" s="179"/>
    </row>
    <row r="40" spans="1:12" s="4" customFormat="1" x14ac:dyDescent="0.3">
      <c r="A40" s="18">
        <v>13</v>
      </c>
      <c r="B40" s="180"/>
      <c r="C40" s="172"/>
      <c r="D40" s="8">
        <f>IF(ISNA(VLOOKUP(K40,Codes!A$3:B$19,2,FALSE))=TRUE,0,VLOOKUP(K40,Codes!A$3:B$19,2,FALSE))</f>
        <v>0</v>
      </c>
      <c r="E40" s="172"/>
      <c r="F40" s="176"/>
      <c r="G40" s="177"/>
      <c r="H40" s="178">
        <f t="shared" si="1"/>
        <v>0</v>
      </c>
      <c r="I40" s="105">
        <f t="shared" si="2"/>
        <v>0</v>
      </c>
      <c r="J40" s="6"/>
      <c r="K40" s="179"/>
    </row>
    <row r="41" spans="1:12" s="4" customFormat="1" ht="14.5" thickBot="1" x14ac:dyDescent="0.35">
      <c r="A41" s="19">
        <v>14</v>
      </c>
      <c r="B41" s="181"/>
      <c r="C41" s="182"/>
      <c r="D41" s="20">
        <f>IF(ISNA(VLOOKUP(K41,Codes!A$3:B$19,2,FALSE))=TRUE,0,VLOOKUP(K41,Codes!A$3:B$19,2,FALSE))</f>
        <v>0</v>
      </c>
      <c r="E41" s="182"/>
      <c r="F41" s="176"/>
      <c r="G41" s="183"/>
      <c r="H41" s="178">
        <f t="shared" si="1"/>
        <v>0</v>
      </c>
      <c r="I41" s="106">
        <f t="shared" si="2"/>
        <v>0</v>
      </c>
      <c r="J41" s="6"/>
      <c r="K41" s="179"/>
    </row>
    <row r="42" spans="1:12" s="4" customFormat="1" ht="6.75" customHeight="1" x14ac:dyDescent="0.3">
      <c r="A42" s="144"/>
      <c r="B42" s="132"/>
      <c r="C42" s="133"/>
      <c r="D42" s="133"/>
      <c r="E42" s="133"/>
      <c r="F42" s="134"/>
      <c r="G42" s="135"/>
      <c r="H42" s="136"/>
      <c r="I42" s="145"/>
      <c r="J42" s="6"/>
      <c r="K42" s="5"/>
    </row>
    <row r="43" spans="1:12" s="51" customFormat="1" ht="11.5" x14ac:dyDescent="0.25">
      <c r="A43" s="146" t="str">
        <f>IF($G$1="Deutsch",Codes!$A77,Codes!$B77)</f>
        <v>Total Expenses Page 1</v>
      </c>
      <c r="B43" s="52"/>
      <c r="C43" s="53"/>
      <c r="D43" s="53"/>
      <c r="E43" s="53"/>
      <c r="F43" s="54"/>
      <c r="G43" s="115"/>
      <c r="H43" s="116"/>
      <c r="I43" s="147">
        <f>SUM(I28:I41)</f>
        <v>0</v>
      </c>
      <c r="J43" s="49"/>
      <c r="K43" s="50"/>
    </row>
    <row r="44" spans="1:12" s="51" customFormat="1" ht="25.5" customHeight="1" x14ac:dyDescent="0.25">
      <c r="A44" s="146" t="str">
        <f>IF($G$1="Deutsch",Codes!$A78,Codes!$B78)</f>
        <v>Total Expenses Page 2</v>
      </c>
      <c r="B44" s="52"/>
      <c r="C44" s="53"/>
      <c r="D44" s="267" t="s">
        <v>148</v>
      </c>
      <c r="E44" s="267"/>
      <c r="F44" s="267"/>
      <c r="G44" s="267"/>
      <c r="H44" s="267"/>
      <c r="I44" s="147">
        <f>+'Expenses Page 2'!I48</f>
        <v>0</v>
      </c>
      <c r="J44" s="49"/>
      <c r="K44" s="50"/>
    </row>
    <row r="45" spans="1:12" s="51" customFormat="1" ht="11.5" x14ac:dyDescent="0.25">
      <c r="A45" s="146" t="str">
        <f>IF($G$1="Deutsch",Codes!$A79,Codes!$B79)</f>
        <v>TOTAL EXPENSES</v>
      </c>
      <c r="G45" s="117"/>
      <c r="H45" s="118"/>
      <c r="I45" s="148">
        <f>SUM(I43:I44)</f>
        <v>0</v>
      </c>
      <c r="J45" s="49"/>
    </row>
    <row r="46" spans="1:12" s="51" customFormat="1" ht="11.5" x14ac:dyDescent="0.25">
      <c r="A46" s="149" t="str">
        <f>IF($G$1="Deutsch",Codes!$A65,Codes!$B65)</f>
        <v>TOTAL FIXED ALLOWANCES</v>
      </c>
      <c r="B46" s="92"/>
      <c r="C46" s="93"/>
      <c r="D46" s="93"/>
      <c r="E46" s="93"/>
      <c r="F46" s="94"/>
      <c r="G46" s="119"/>
      <c r="H46" s="120"/>
      <c r="I46" s="150">
        <f>IF(G12&lt;&gt;"CHF"," ",+I23)</f>
        <v>0</v>
      </c>
      <c r="J46" s="49"/>
      <c r="K46" s="50"/>
    </row>
    <row r="47" spans="1:12" s="51" customFormat="1" ht="24" customHeight="1" thickBot="1" x14ac:dyDescent="0.3">
      <c r="A47" s="151" t="str">
        <f>IF($G$1="Deutsch",Codes!$A80,Codes!$B80)</f>
        <v>TOTAL TO BE PAID IN CURRENCY</v>
      </c>
      <c r="B47" s="152"/>
      <c r="C47" s="153"/>
      <c r="D47" s="153"/>
      <c r="E47" s="153"/>
      <c r="F47" s="154"/>
      <c r="G47" s="155"/>
      <c r="H47" s="156" t="str">
        <f>+G12</f>
        <v>CHF</v>
      </c>
      <c r="I47" s="157">
        <f>IF(I46=" "," ",+I46+I45)</f>
        <v>0</v>
      </c>
      <c r="J47" s="49"/>
      <c r="K47" s="50"/>
    </row>
    <row r="48" spans="1:12" ht="9" customHeight="1" thickBot="1" x14ac:dyDescent="0.4">
      <c r="D48" s="4"/>
      <c r="E48" s="4"/>
      <c r="F48" s="4"/>
      <c r="G48" s="4"/>
      <c r="H48" s="47"/>
      <c r="I48" s="48"/>
      <c r="K48" s="4"/>
      <c r="L48" s="4"/>
    </row>
    <row r="49" spans="1:10" ht="14.5" x14ac:dyDescent="0.35">
      <c r="A49" s="207" t="str">
        <f>IF($G$1="Deutsch",Codes!$A81,Codes!$B81)</f>
        <v>Signature of beneficiary</v>
      </c>
      <c r="B49" s="208"/>
      <c r="C49" s="184"/>
      <c r="D49" s="4"/>
      <c r="F49" s="1"/>
      <c r="G49" s="203" t="str">
        <f>IF($G$1="Deutsch",Codes!$A90,Codes!$B90)</f>
        <v>ACCOUNTING ONLY</v>
      </c>
      <c r="H49" s="204"/>
      <c r="I49" s="121" t="str">
        <f>+G12</f>
        <v>CHF</v>
      </c>
      <c r="J49" s="1"/>
    </row>
    <row r="50" spans="1:10" ht="28" x14ac:dyDescent="0.3">
      <c r="A50" s="209"/>
      <c r="B50" s="210"/>
      <c r="C50" s="185" t="s">
        <v>149</v>
      </c>
      <c r="F50" s="1"/>
      <c r="G50" s="56">
        <v>422000</v>
      </c>
      <c r="H50" s="57"/>
      <c r="I50" s="122">
        <f>SUMIF(D$28:D$41,422000,Example!I$28:I$41)+SUMIF('Expenses Page 2'!D$13:D$47,422000,'Expenses Page 2'!I$13:I$47)</f>
        <v>0</v>
      </c>
      <c r="J50" s="1"/>
    </row>
    <row r="51" spans="1:10" ht="14.5" thickBot="1" x14ac:dyDescent="0.35">
      <c r="A51" s="211"/>
      <c r="B51" s="212"/>
      <c r="C51" s="186"/>
      <c r="F51" s="1"/>
      <c r="G51" s="56">
        <v>422010</v>
      </c>
      <c r="H51" s="131"/>
      <c r="I51" s="122">
        <f>SUMIF(D$28:D$41,422010,Example!I$28:I$41)+SUMIF('Expenses Page 2'!D$13:D$47,422010,'Expenses Page 2'!I$13:I$47)</f>
        <v>0</v>
      </c>
      <c r="J51" s="1"/>
    </row>
    <row r="52" spans="1:10" ht="14.5" thickBot="1" x14ac:dyDescent="0.35">
      <c r="F52" s="1"/>
      <c r="G52" s="56">
        <v>422020</v>
      </c>
      <c r="H52" s="131"/>
      <c r="I52" s="122">
        <f>+I24</f>
        <v>0</v>
      </c>
      <c r="J52" s="1"/>
    </row>
    <row r="53" spans="1:10" ht="14.5" x14ac:dyDescent="0.35">
      <c r="A53" s="213" t="str">
        <f>IF($G$1="Deutsch",Codes!$A82,Codes!$B82)</f>
        <v>Account holder</v>
      </c>
      <c r="B53" s="214"/>
      <c r="C53" s="268" t="s">
        <v>151</v>
      </c>
      <c r="F53" s="1"/>
      <c r="G53" s="56">
        <v>421000</v>
      </c>
      <c r="H53" s="131"/>
      <c r="I53" s="122">
        <f>SUMIF(D$28:D$41,421000,Example!I$28:I$41)+SUMIF('Expenses Page 2'!D$13:D$47,421000,'Expenses Page 2'!I$13:I$47)</f>
        <v>0</v>
      </c>
      <c r="J53" s="1"/>
    </row>
    <row r="54" spans="1:10" ht="14.5" x14ac:dyDescent="0.35">
      <c r="A54" s="215" t="str">
        <f>IF($G$1="Deutsch",Codes!$A83,Codes!$B83)</f>
        <v>Bank/Post</v>
      </c>
      <c r="B54" s="216"/>
      <c r="C54" s="269"/>
      <c r="F54" s="1"/>
      <c r="G54" s="56">
        <v>423000</v>
      </c>
      <c r="H54" s="57"/>
      <c r="I54" s="122">
        <f>SUMIF(D$28:D$41,423000,Example!I$28:I$41)+SUMIF('Expenses Page 2'!D$13:D$47,423000,'Expenses Page 2'!I$13:I$47)</f>
        <v>0</v>
      </c>
      <c r="J54" s="1"/>
    </row>
    <row r="55" spans="1:10" ht="14.5" x14ac:dyDescent="0.35">
      <c r="A55" s="215" t="str">
        <f>IF($G$1="Deutsch",Codes!$A84,Codes!$B84)</f>
        <v>Address Bank/Post</v>
      </c>
      <c r="B55" s="216"/>
      <c r="C55" s="269"/>
      <c r="G55" s="56">
        <v>423020</v>
      </c>
      <c r="H55" s="57"/>
      <c r="I55" s="122">
        <f>SUMIF(D$28:D$41,423020,Example!I$28:I$41)+SUMIF('Expenses Page 2'!D$13:D$47,423020,'Expenses Page 2'!I$13:I$47)</f>
        <v>0</v>
      </c>
    </row>
    <row r="56" spans="1:10" ht="14.5" x14ac:dyDescent="0.35">
      <c r="A56" s="215" t="str">
        <f>IF($G$1="Deutsch",Codes!$A42,Codes!$B42)</f>
        <v>ZIP/Place</v>
      </c>
      <c r="B56" s="216"/>
      <c r="C56" s="269"/>
      <c r="G56" s="56">
        <v>500000</v>
      </c>
      <c r="H56" s="57"/>
      <c r="I56" s="122">
        <f>SUMIF(D$28:D$41,500000,Example!I$28:I$41)+SUMIF('Expenses Page 2'!D$13:D$47,500000,'Expenses Page 2'!I$13:I$47)</f>
        <v>0</v>
      </c>
    </row>
    <row r="57" spans="1:10" ht="14.5" x14ac:dyDescent="0.35">
      <c r="A57" s="215" t="str">
        <f>IF($G$1="Deutsch",Codes!$A85,Codes!$B85)</f>
        <v>Account no.</v>
      </c>
      <c r="B57" s="216"/>
      <c r="C57" s="269"/>
      <c r="G57" s="56">
        <v>500040</v>
      </c>
      <c r="H57" s="57"/>
      <c r="I57" s="122">
        <f>SUMIF(D$28:D$41,500040,Example!I$28:I$41)+SUMIF('Expenses Page 2'!D$13:D$47,500040,'Expenses Page 2'!I$13:I$47)</f>
        <v>0</v>
      </c>
    </row>
    <row r="58" spans="1:10" ht="14.5" x14ac:dyDescent="0.35">
      <c r="A58" s="215" t="str">
        <f>IF($G$1="Deutsch",Codes!$A86,Codes!$B86)</f>
        <v>IBAN no.</v>
      </c>
      <c r="B58" s="216"/>
      <c r="C58" s="269"/>
      <c r="G58" s="56">
        <v>510010</v>
      </c>
      <c r="H58" s="57"/>
      <c r="I58" s="122">
        <f>SUMIF(D$28:D$41,510010,Example!I$28:I$41)+SUMIF('Expenses Page 2'!D$13:D$47,510010,'Expenses Page 2'!I$13:I$47)</f>
        <v>0</v>
      </c>
    </row>
    <row r="59" spans="1:10" ht="15" thickBot="1" x14ac:dyDescent="0.4">
      <c r="A59" s="205" t="str">
        <f>IF($G$1="Deutsch",Codes!$A87,Codes!$B87)</f>
        <v>BIC/SWIFT</v>
      </c>
      <c r="B59" s="206"/>
      <c r="C59" s="270"/>
      <c r="G59" s="56">
        <v>550000</v>
      </c>
      <c r="H59" s="57"/>
      <c r="I59" s="122">
        <f>SUMIF(D$28:D$41,550000,Example!I$28:I$41)+SUMIF('Expenses Page 2'!D$13:D$47,550000,'Expenses Page 2'!I$13:I$47)</f>
        <v>0</v>
      </c>
    </row>
    <row r="60" spans="1:10" ht="14.5" thickBot="1" x14ac:dyDescent="0.35">
      <c r="G60" s="56">
        <v>550010</v>
      </c>
      <c r="H60" s="57"/>
      <c r="I60" s="122">
        <f>SUMIF(D$28:D$41,550010,Example!I$28:I$41)+SUMIF('Expenses Page 2'!D$13:D$47,550010,'Expenses Page 2'!I$13:I$47)</f>
        <v>0</v>
      </c>
    </row>
    <row r="61" spans="1:10" x14ac:dyDescent="0.3">
      <c r="A61" s="193" t="str">
        <f>IF($G$1="Deutsch",Codes!$A92,Codes!$B92)</f>
        <v>Entrydate (dd.mm.yyyy)</v>
      </c>
      <c r="B61" s="194"/>
      <c r="C61" s="187" t="s">
        <v>160</v>
      </c>
      <c r="G61" s="56">
        <v>550020</v>
      </c>
      <c r="H61" s="57"/>
      <c r="I61" s="122">
        <f>SUMIF(D$28:D$41,550020,Example!I$28:I$41)+SUMIF('Expenses Page 2'!D$13:D$47,550020,'Expenses Page 2'!I$13:I$47)</f>
        <v>0</v>
      </c>
    </row>
    <row r="62" spans="1:10" x14ac:dyDescent="0.3">
      <c r="A62" s="195"/>
      <c r="B62" s="196"/>
      <c r="C62" s="142"/>
      <c r="G62" s="56">
        <v>550030</v>
      </c>
      <c r="H62" s="57"/>
      <c r="I62" s="122">
        <f>SUMIF(D$28:D$41,550030,Example!I$28:I$41)+SUMIF('Expenses Page 2'!D$13:D$47,550030,'Expenses Page 2'!I$13:I$47)</f>
        <v>0</v>
      </c>
    </row>
    <row r="63" spans="1:10" x14ac:dyDescent="0.3">
      <c r="A63" s="197" t="str">
        <f>IF($G$1="Deutsch",Codes!$A89,Codes!$B89)</f>
        <v>Visa Line Manager</v>
      </c>
      <c r="B63" s="198"/>
      <c r="C63" s="271" t="s">
        <v>150</v>
      </c>
      <c r="G63" s="56">
        <v>550060</v>
      </c>
      <c r="H63" s="57"/>
      <c r="I63" s="122">
        <f>SUMIF(D$28:D$41,550060,Example!I$28:I$41)+SUMIF('Expenses Page 2'!D$13:D$47,550060,'Expenses Page 2'!I$13:I$47)</f>
        <v>0</v>
      </c>
    </row>
    <row r="64" spans="1:10" ht="14.5" customHeight="1" x14ac:dyDescent="0.3">
      <c r="A64" s="199"/>
      <c r="B64" s="200"/>
      <c r="C64" s="269"/>
      <c r="F64" s="1"/>
      <c r="G64" s="77">
        <v>550070</v>
      </c>
      <c r="H64" s="67"/>
      <c r="I64" s="122">
        <f>SUMIF(D$28:D$41,550070,Example!I$28:I$41)+SUMIF('Expenses Page 2'!D$13:D$47,550070,'Expenses Page 2'!I$13:I$47)</f>
        <v>0</v>
      </c>
      <c r="J64" s="1"/>
    </row>
    <row r="65" spans="1:11" ht="15" customHeight="1" thickBot="1" x14ac:dyDescent="0.35">
      <c r="A65" s="201"/>
      <c r="B65" s="202"/>
      <c r="C65" s="270"/>
      <c r="F65" s="1"/>
      <c r="G65" s="77">
        <v>550080</v>
      </c>
      <c r="H65" s="67"/>
      <c r="I65" s="122">
        <f>SUMIF(D$28:D$41,550080,Example!I$28:I$41)+SUMIF('Expenses Page 2'!D$13:D$47,550080,'Expenses Page 2'!I$13:I$47)</f>
        <v>0</v>
      </c>
      <c r="J65" s="1"/>
    </row>
    <row r="66" spans="1:11" x14ac:dyDescent="0.3">
      <c r="G66" s="77">
        <v>568000</v>
      </c>
      <c r="H66" s="67"/>
      <c r="I66" s="122">
        <f>SUMIF(D$28:D$41,568000,Example!I$28:I$41)+SUMIF('Expenses Page 2'!D$13:D$47,568000,'Expenses Page 2'!I$13:I$47)</f>
        <v>0</v>
      </c>
    </row>
    <row r="67" spans="1:11" ht="14.5" thickBot="1" x14ac:dyDescent="0.35">
      <c r="G67" s="58" t="s">
        <v>36</v>
      </c>
      <c r="H67" s="59"/>
      <c r="I67" s="123">
        <f>SUMIF(D$28:D$41,"Other",Example!I$28:I$41)+SUMIF('Expenses Page 2'!D$13:D$47,"Other",'Expenses Page 2'!I$13:I$47)</f>
        <v>0</v>
      </c>
    </row>
    <row r="68" spans="1:11" ht="14.5" thickBot="1" x14ac:dyDescent="0.35">
      <c r="G68" s="65" t="s">
        <v>40</v>
      </c>
      <c r="H68" s="59"/>
      <c r="I68" s="124">
        <f>IF(G12="CHF",SUM(I50:I67)," ")</f>
        <v>0</v>
      </c>
    </row>
    <row r="69" spans="1:11" x14ac:dyDescent="0.3">
      <c r="G69" s="1"/>
      <c r="H69" s="1"/>
      <c r="I69" s="1"/>
    </row>
    <row r="70" spans="1:11" x14ac:dyDescent="0.3">
      <c r="G70" s="1"/>
      <c r="H70" s="1"/>
      <c r="I70" s="1"/>
    </row>
    <row r="71" spans="1:11" x14ac:dyDescent="0.3">
      <c r="G71" s="1"/>
      <c r="H71" s="1"/>
      <c r="I71" s="1"/>
      <c r="K71" s="29"/>
    </row>
    <row r="72" spans="1:11" x14ac:dyDescent="0.3">
      <c r="G72" s="1"/>
      <c r="H72" s="1"/>
      <c r="I72" s="1"/>
    </row>
  </sheetData>
  <sheetProtection algorithmName="SHA-512" hashValue="plCCSqk/D6eLpqXfCqtH47D4fkfYBSbYdfYqWhO+EkEWsbFBk21UvKv1Pb4T9PfYYVFi1Hcuk6C0gLTizKpkiQ==" saltValue="8DllpSvjca/0rCQd9TbYIQ==" spinCount="100000" sheet="1" formatCells="0" selectLockedCells="1"/>
  <mergeCells count="28">
    <mergeCell ref="A61:B62"/>
    <mergeCell ref="A63:B65"/>
    <mergeCell ref="D17:I17"/>
    <mergeCell ref="D44:H44"/>
    <mergeCell ref="C53:C59"/>
    <mergeCell ref="C63:C65"/>
    <mergeCell ref="A54:B54"/>
    <mergeCell ref="A55:B55"/>
    <mergeCell ref="A56:B56"/>
    <mergeCell ref="A57:B57"/>
    <mergeCell ref="A58:B58"/>
    <mergeCell ref="A59:B59"/>
    <mergeCell ref="A21:B21"/>
    <mergeCell ref="C21:E21"/>
    <mergeCell ref="A22:E22"/>
    <mergeCell ref="A49:B51"/>
    <mergeCell ref="C11:I11"/>
    <mergeCell ref="C7:F10"/>
    <mergeCell ref="C6:I6"/>
    <mergeCell ref="G49:H49"/>
    <mergeCell ref="A53:B53"/>
    <mergeCell ref="G13:I13"/>
    <mergeCell ref="G14:I14"/>
    <mergeCell ref="A18:E18"/>
    <mergeCell ref="A19:B19"/>
    <mergeCell ref="C19:E19"/>
    <mergeCell ref="A20:B20"/>
    <mergeCell ref="C20:E20"/>
  </mergeCells>
  <dataValidations count="3">
    <dataValidation type="whole" allowBlank="1" showInputMessage="1" showErrorMessage="1" sqref="F19:F22" xr:uid="{00000000-0002-0000-0200-000000000000}">
      <formula1>0</formula1>
      <formula2>100</formula2>
    </dataValidation>
    <dataValidation type="date" allowBlank="1" showInputMessage="1" showErrorMessage="1" sqref="G13:I13 B29:B41" xr:uid="{00000000-0002-0000-0200-000001000000}">
      <formula1>41640</formula1>
      <formula2>73050</formula2>
    </dataValidation>
    <dataValidation type="date" allowBlank="1" showInputMessage="1" showErrorMessage="1" sqref="I9:I10" xr:uid="{00000000-0002-0000-0200-000002000000}">
      <formula1>41548</formula1>
      <formula2>73050</formula2>
    </dataValidation>
  </dataValidations>
  <pageMargins left="0.70866141732283472" right="0.31496062992125984" top="0.35433070866141736" bottom="0.35433070866141736" header="0.31496062992125984" footer="0.31496062992125984"/>
  <pageSetup paperSize="9" scale="67" orientation="portrait" r:id="rId1"/>
  <headerFooter>
    <oddFooter>&amp;R&amp;"Arial,Standard"&amp;9Bill of Expenses / ADMIN / Version  2020-11-12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3000000}">
          <x14:formula1>
            <xm:f>Codes!$A$3:$A$19</xm:f>
          </x14:formula1>
          <xm:sqref>K28:K41</xm:sqref>
        </x14:dataValidation>
        <x14:dataValidation type="list" allowBlank="1" showInputMessage="1" showErrorMessage="1" xr:uid="{00000000-0002-0000-0200-000004000000}">
          <x14:formula1>
            <xm:f>IF(G1="Deutsch",Codes!$A$29:$A$30,Codes!$B$29:$B$30)</xm:f>
          </x14:formula1>
          <xm:sqref>D16</xm:sqref>
        </x14:dataValidation>
        <x14:dataValidation type="list" allowBlank="1" showInputMessage="1" showErrorMessage="1" xr:uid="{00000000-0002-0000-0200-000005000000}">
          <x14:formula1>
            <xm:f>Codes!$A$33:$A$34</xm:f>
          </x14:formula1>
          <xm:sqref>G1</xm:sqref>
        </x14:dataValidation>
        <x14:dataValidation type="list" allowBlank="1" showInputMessage="1" showErrorMessage="1" xr:uid="{00000000-0002-0000-0200-000006000000}">
          <x14:formula1>
            <xm:f>Codes!$A$23:$A$26</xm:f>
          </x14:formula1>
          <xm:sqref>G12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B92"/>
  <sheetViews>
    <sheetView workbookViewId="0">
      <pane ySplit="1" topLeftCell="A2" activePane="bottomLeft" state="frozen"/>
      <selection pane="bottomLeft" activeCell="G19" sqref="G19"/>
    </sheetView>
  </sheetViews>
  <sheetFormatPr defaultColWidth="9.1796875" defaultRowHeight="14.5" x14ac:dyDescent="0.35"/>
  <cols>
    <col min="1" max="1" width="54.1796875" customWidth="1"/>
    <col min="2" max="2" width="44" customWidth="1"/>
  </cols>
  <sheetData>
    <row r="2" spans="1:2" x14ac:dyDescent="0.35">
      <c r="A2" s="99" t="s">
        <v>17</v>
      </c>
      <c r="B2" s="99" t="s">
        <v>16</v>
      </c>
    </row>
    <row r="3" spans="1:2" x14ac:dyDescent="0.35">
      <c r="A3" t="s">
        <v>14</v>
      </c>
      <c r="B3">
        <v>422000</v>
      </c>
    </row>
    <row r="4" spans="1:2" x14ac:dyDescent="0.35">
      <c r="A4" t="s">
        <v>129</v>
      </c>
      <c r="B4">
        <v>422010</v>
      </c>
    </row>
    <row r="5" spans="1:2" x14ac:dyDescent="0.35">
      <c r="A5" t="s">
        <v>15</v>
      </c>
      <c r="B5">
        <v>423000</v>
      </c>
    </row>
    <row r="6" spans="1:2" x14ac:dyDescent="0.35">
      <c r="A6" t="s">
        <v>130</v>
      </c>
      <c r="B6">
        <v>423020</v>
      </c>
    </row>
    <row r="7" spans="1:2" x14ac:dyDescent="0.35">
      <c r="A7" t="s">
        <v>104</v>
      </c>
      <c r="B7">
        <v>421000</v>
      </c>
    </row>
    <row r="8" spans="1:2" x14ac:dyDescent="0.35">
      <c r="A8" t="s">
        <v>31</v>
      </c>
      <c r="B8">
        <v>500000</v>
      </c>
    </row>
    <row r="9" spans="1:2" x14ac:dyDescent="0.35">
      <c r="A9" t="s">
        <v>131</v>
      </c>
      <c r="B9">
        <v>500040</v>
      </c>
    </row>
    <row r="10" spans="1:2" x14ac:dyDescent="0.35">
      <c r="A10" t="s">
        <v>132</v>
      </c>
      <c r="B10">
        <v>510010</v>
      </c>
    </row>
    <row r="11" spans="1:2" x14ac:dyDescent="0.35">
      <c r="A11" t="s">
        <v>32</v>
      </c>
      <c r="B11">
        <v>550000</v>
      </c>
    </row>
    <row r="12" spans="1:2" x14ac:dyDescent="0.35">
      <c r="A12" t="s">
        <v>33</v>
      </c>
      <c r="B12">
        <v>550010</v>
      </c>
    </row>
    <row r="13" spans="1:2" x14ac:dyDescent="0.35">
      <c r="A13" t="s">
        <v>105</v>
      </c>
      <c r="B13">
        <v>550020</v>
      </c>
    </row>
    <row r="14" spans="1:2" x14ac:dyDescent="0.35">
      <c r="A14" t="s">
        <v>106</v>
      </c>
      <c r="B14">
        <v>550030</v>
      </c>
    </row>
    <row r="15" spans="1:2" x14ac:dyDescent="0.35">
      <c r="A15" t="s">
        <v>101</v>
      </c>
      <c r="B15">
        <v>550060</v>
      </c>
    </row>
    <row r="16" spans="1:2" x14ac:dyDescent="0.35">
      <c r="A16" t="s">
        <v>133</v>
      </c>
      <c r="B16">
        <v>550070</v>
      </c>
    </row>
    <row r="17" spans="1:2" x14ac:dyDescent="0.35">
      <c r="A17" t="s">
        <v>134</v>
      </c>
      <c r="B17">
        <v>550080</v>
      </c>
    </row>
    <row r="18" spans="1:2" x14ac:dyDescent="0.35">
      <c r="A18" t="s">
        <v>102</v>
      </c>
      <c r="B18">
        <v>568000</v>
      </c>
    </row>
    <row r="19" spans="1:2" x14ac:dyDescent="0.35">
      <c r="A19" t="s">
        <v>37</v>
      </c>
      <c r="B19" s="95" t="s">
        <v>36</v>
      </c>
    </row>
    <row r="22" spans="1:2" x14ac:dyDescent="0.35">
      <c r="A22" s="99" t="s">
        <v>38</v>
      </c>
    </row>
    <row r="23" spans="1:2" x14ac:dyDescent="0.35">
      <c r="A23" t="s">
        <v>18</v>
      </c>
    </row>
    <row r="24" spans="1:2" x14ac:dyDescent="0.35">
      <c r="A24" t="s">
        <v>20</v>
      </c>
    </row>
    <row r="25" spans="1:2" x14ac:dyDescent="0.35">
      <c r="A25" t="s">
        <v>53</v>
      </c>
    </row>
    <row r="26" spans="1:2" x14ac:dyDescent="0.35">
      <c r="A26" t="s">
        <v>39</v>
      </c>
    </row>
    <row r="28" spans="1:2" x14ac:dyDescent="0.35">
      <c r="A28" s="99" t="s">
        <v>50</v>
      </c>
      <c r="B28" s="99" t="s">
        <v>50</v>
      </c>
    </row>
    <row r="29" spans="1:2" x14ac:dyDescent="0.35">
      <c r="A29" t="s">
        <v>71</v>
      </c>
      <c r="B29" t="s">
        <v>51</v>
      </c>
    </row>
    <row r="30" spans="1:2" x14ac:dyDescent="0.35">
      <c r="A30" t="s">
        <v>72</v>
      </c>
      <c r="B30" t="s">
        <v>52</v>
      </c>
    </row>
    <row r="32" spans="1:2" x14ac:dyDescent="0.35">
      <c r="A32" s="99" t="s">
        <v>60</v>
      </c>
    </row>
    <row r="33" spans="1:2" x14ac:dyDescent="0.35">
      <c r="A33" t="s">
        <v>61</v>
      </c>
    </row>
    <row r="34" spans="1:2" x14ac:dyDescent="0.35">
      <c r="A34" t="s">
        <v>62</v>
      </c>
    </row>
    <row r="36" spans="1:2" x14ac:dyDescent="0.35">
      <c r="A36" s="99" t="s">
        <v>59</v>
      </c>
      <c r="B36" s="99" t="s">
        <v>58</v>
      </c>
    </row>
    <row r="37" spans="1:2" x14ac:dyDescent="0.35">
      <c r="A37" t="s">
        <v>43</v>
      </c>
      <c r="B37" t="s">
        <v>42</v>
      </c>
    </row>
    <row r="38" spans="1:2" x14ac:dyDescent="0.35">
      <c r="A38" t="s">
        <v>108</v>
      </c>
      <c r="B38" t="s">
        <v>140</v>
      </c>
    </row>
    <row r="39" spans="1:2" x14ac:dyDescent="0.35">
      <c r="A39" t="s">
        <v>107</v>
      </c>
      <c r="B39" t="s">
        <v>117</v>
      </c>
    </row>
    <row r="40" spans="1:2" x14ac:dyDescent="0.35">
      <c r="A40" t="s">
        <v>63</v>
      </c>
      <c r="B40" t="s">
        <v>118</v>
      </c>
    </row>
    <row r="41" spans="1:2" x14ac:dyDescent="0.35">
      <c r="A41" t="s">
        <v>28</v>
      </c>
      <c r="B41" t="s">
        <v>41</v>
      </c>
    </row>
    <row r="42" spans="1:2" x14ac:dyDescent="0.35">
      <c r="A42" t="s">
        <v>126</v>
      </c>
      <c r="B42" t="s">
        <v>127</v>
      </c>
    </row>
    <row r="43" spans="1:2" x14ac:dyDescent="0.35">
      <c r="A43" t="s">
        <v>125</v>
      </c>
      <c r="B43" t="s">
        <v>128</v>
      </c>
    </row>
    <row r="44" spans="1:2" x14ac:dyDescent="0.35">
      <c r="A44" t="s">
        <v>64</v>
      </c>
      <c r="B44" t="s">
        <v>119</v>
      </c>
    </row>
    <row r="45" spans="1:2" x14ac:dyDescent="0.35">
      <c r="A45" t="s">
        <v>115</v>
      </c>
      <c r="B45" t="s">
        <v>113</v>
      </c>
    </row>
    <row r="46" spans="1:2" x14ac:dyDescent="0.35">
      <c r="A46" t="s">
        <v>65</v>
      </c>
      <c r="B46" t="s">
        <v>66</v>
      </c>
    </row>
    <row r="47" spans="1:2" x14ac:dyDescent="0.35">
      <c r="A47" t="s">
        <v>136</v>
      </c>
      <c r="B47" t="s">
        <v>137</v>
      </c>
    </row>
    <row r="48" spans="1:2" x14ac:dyDescent="0.35">
      <c r="A48" t="s">
        <v>68</v>
      </c>
      <c r="B48" t="s">
        <v>56</v>
      </c>
    </row>
    <row r="49" spans="1:2" x14ac:dyDescent="0.35">
      <c r="A49" t="s">
        <v>116</v>
      </c>
      <c r="B49" t="s">
        <v>114</v>
      </c>
    </row>
    <row r="50" spans="1:2" x14ac:dyDescent="0.35">
      <c r="A50" t="s">
        <v>69</v>
      </c>
      <c r="B50" t="s">
        <v>30</v>
      </c>
    </row>
    <row r="51" spans="1:2" x14ac:dyDescent="0.35">
      <c r="A51" t="s">
        <v>70</v>
      </c>
      <c r="B51" t="s">
        <v>73</v>
      </c>
    </row>
    <row r="52" spans="1:2" x14ac:dyDescent="0.35">
      <c r="A52" t="s">
        <v>99</v>
      </c>
      <c r="B52" t="s">
        <v>100</v>
      </c>
    </row>
    <row r="53" spans="1:2" x14ac:dyDescent="0.35">
      <c r="A53" t="s">
        <v>74</v>
      </c>
      <c r="B53" t="s">
        <v>75</v>
      </c>
    </row>
    <row r="54" spans="1:2" x14ac:dyDescent="0.35">
      <c r="A54" t="s">
        <v>9</v>
      </c>
      <c r="B54" t="s">
        <v>2</v>
      </c>
    </row>
    <row r="55" spans="1:2" x14ac:dyDescent="0.35">
      <c r="A55" t="s">
        <v>26</v>
      </c>
      <c r="B55" t="s">
        <v>25</v>
      </c>
    </row>
    <row r="56" spans="1:2" x14ac:dyDescent="0.35">
      <c r="A56" t="s">
        <v>57</v>
      </c>
      <c r="B56" t="s">
        <v>120</v>
      </c>
    </row>
    <row r="57" spans="1:2" x14ac:dyDescent="0.35">
      <c r="A57" t="s">
        <v>11</v>
      </c>
      <c r="B57" t="s">
        <v>4</v>
      </c>
    </row>
    <row r="58" spans="1:2" x14ac:dyDescent="0.35">
      <c r="A58" t="s">
        <v>13</v>
      </c>
      <c r="B58" t="s">
        <v>6</v>
      </c>
    </row>
    <row r="59" spans="1:2" x14ac:dyDescent="0.35">
      <c r="A59" t="s">
        <v>76</v>
      </c>
      <c r="B59" t="s">
        <v>21</v>
      </c>
    </row>
    <row r="60" spans="1:2" x14ac:dyDescent="0.35">
      <c r="A60" t="s">
        <v>77</v>
      </c>
      <c r="B60" t="s">
        <v>22</v>
      </c>
    </row>
    <row r="61" spans="1:2" x14ac:dyDescent="0.35">
      <c r="A61" t="s">
        <v>78</v>
      </c>
      <c r="B61" t="s">
        <v>23</v>
      </c>
    </row>
    <row r="62" spans="1:2" ht="43.5" x14ac:dyDescent="0.35">
      <c r="A62" s="100" t="s">
        <v>80</v>
      </c>
      <c r="B62" s="100" t="s">
        <v>79</v>
      </c>
    </row>
    <row r="63" spans="1:2" ht="29" x14ac:dyDescent="0.35">
      <c r="A63" s="100" t="s">
        <v>81</v>
      </c>
      <c r="B63" s="100" t="s">
        <v>54</v>
      </c>
    </row>
    <row r="64" spans="1:2" x14ac:dyDescent="0.35">
      <c r="A64" t="s">
        <v>109</v>
      </c>
      <c r="B64" t="s">
        <v>24</v>
      </c>
    </row>
    <row r="65" spans="1:2" x14ac:dyDescent="0.35">
      <c r="A65" t="s">
        <v>82</v>
      </c>
      <c r="B65" t="s">
        <v>44</v>
      </c>
    </row>
    <row r="66" spans="1:2" x14ac:dyDescent="0.35">
      <c r="A66" t="s">
        <v>83</v>
      </c>
      <c r="B66" t="s">
        <v>55</v>
      </c>
    </row>
    <row r="67" spans="1:2" x14ac:dyDescent="0.35">
      <c r="A67" t="s">
        <v>84</v>
      </c>
      <c r="B67" t="s">
        <v>45</v>
      </c>
    </row>
    <row r="68" spans="1:2" x14ac:dyDescent="0.35">
      <c r="A68" t="s">
        <v>7</v>
      </c>
      <c r="B68" t="s">
        <v>1</v>
      </c>
    </row>
    <row r="69" spans="1:2" x14ac:dyDescent="0.35">
      <c r="A69" t="s">
        <v>8</v>
      </c>
      <c r="B69" t="s">
        <v>0</v>
      </c>
    </row>
    <row r="70" spans="1:2" x14ac:dyDescent="0.35">
      <c r="A70" t="s">
        <v>9</v>
      </c>
      <c r="B70" t="s">
        <v>2</v>
      </c>
    </row>
    <row r="71" spans="1:2" x14ac:dyDescent="0.35">
      <c r="A71" t="s">
        <v>29</v>
      </c>
      <c r="B71" t="s">
        <v>124</v>
      </c>
    </row>
    <row r="72" spans="1:2" x14ac:dyDescent="0.35">
      <c r="A72" t="s">
        <v>10</v>
      </c>
      <c r="B72" t="s">
        <v>3</v>
      </c>
    </row>
    <row r="73" spans="1:2" x14ac:dyDescent="0.35">
      <c r="A73" t="s">
        <v>11</v>
      </c>
      <c r="B73" t="s">
        <v>4</v>
      </c>
    </row>
    <row r="74" spans="1:2" x14ac:dyDescent="0.35">
      <c r="A74" t="s">
        <v>12</v>
      </c>
      <c r="B74" t="s">
        <v>5</v>
      </c>
    </row>
    <row r="75" spans="1:2" x14ac:dyDescent="0.35">
      <c r="A75" t="str">
        <f>CONCATENATE("Betrag"," ",G$19)</f>
        <v xml:space="preserve">Betrag </v>
      </c>
      <c r="B75" t="str">
        <f>CONCATENATE("Amount"," ",G$19)</f>
        <v xml:space="preserve">Amount </v>
      </c>
    </row>
    <row r="76" spans="1:2" x14ac:dyDescent="0.35">
      <c r="A76" t="s">
        <v>34</v>
      </c>
      <c r="B76" t="s">
        <v>19</v>
      </c>
    </row>
    <row r="77" spans="1:2" x14ac:dyDescent="0.35">
      <c r="A77" t="s">
        <v>86</v>
      </c>
      <c r="B77" t="s">
        <v>48</v>
      </c>
    </row>
    <row r="78" spans="1:2" x14ac:dyDescent="0.35">
      <c r="A78" t="s">
        <v>87</v>
      </c>
      <c r="B78" t="s">
        <v>49</v>
      </c>
    </row>
    <row r="79" spans="1:2" x14ac:dyDescent="0.35">
      <c r="A79" t="s">
        <v>85</v>
      </c>
      <c r="B79" t="s">
        <v>46</v>
      </c>
    </row>
    <row r="80" spans="1:2" x14ac:dyDescent="0.35">
      <c r="A80" t="s">
        <v>112</v>
      </c>
      <c r="B80" t="s">
        <v>111</v>
      </c>
    </row>
    <row r="81" spans="1:2" x14ac:dyDescent="0.35">
      <c r="A81" t="s">
        <v>95</v>
      </c>
      <c r="B81" t="s">
        <v>96</v>
      </c>
    </row>
    <row r="82" spans="1:2" x14ac:dyDescent="0.35">
      <c r="A82" t="s">
        <v>88</v>
      </c>
      <c r="B82" t="s">
        <v>123</v>
      </c>
    </row>
    <row r="83" spans="1:2" x14ac:dyDescent="0.35">
      <c r="A83" t="s">
        <v>110</v>
      </c>
      <c r="B83" t="s">
        <v>110</v>
      </c>
    </row>
    <row r="84" spans="1:2" x14ac:dyDescent="0.35">
      <c r="A84" t="s">
        <v>89</v>
      </c>
      <c r="B84" t="s">
        <v>103</v>
      </c>
    </row>
    <row r="85" spans="1:2" x14ac:dyDescent="0.35">
      <c r="A85" t="s">
        <v>90</v>
      </c>
      <c r="B85" t="s">
        <v>121</v>
      </c>
    </row>
    <row r="86" spans="1:2" x14ac:dyDescent="0.35">
      <c r="A86" t="s">
        <v>27</v>
      </c>
      <c r="B86" t="s">
        <v>122</v>
      </c>
    </row>
    <row r="87" spans="1:2" x14ac:dyDescent="0.35">
      <c r="A87" t="s">
        <v>138</v>
      </c>
      <c r="B87" t="s">
        <v>138</v>
      </c>
    </row>
    <row r="88" spans="1:2" x14ac:dyDescent="0.35">
      <c r="A88" t="s">
        <v>91</v>
      </c>
      <c r="B88" t="s">
        <v>47</v>
      </c>
    </row>
    <row r="89" spans="1:2" x14ac:dyDescent="0.35">
      <c r="A89" t="s">
        <v>97</v>
      </c>
      <c r="B89" t="s">
        <v>98</v>
      </c>
    </row>
    <row r="90" spans="1:2" x14ac:dyDescent="0.35">
      <c r="A90" t="s">
        <v>92</v>
      </c>
      <c r="B90" t="s">
        <v>35</v>
      </c>
    </row>
    <row r="91" spans="1:2" x14ac:dyDescent="0.35">
      <c r="A91" t="s">
        <v>94</v>
      </c>
      <c r="B91" t="s">
        <v>93</v>
      </c>
    </row>
    <row r="92" spans="1:2" x14ac:dyDescent="0.35">
      <c r="A92" t="s">
        <v>67</v>
      </c>
      <c r="B92" t="s">
        <v>139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Expenses  Page 1</vt:lpstr>
      <vt:lpstr>Expenses Page 2</vt:lpstr>
      <vt:lpstr>Example</vt:lpstr>
      <vt:lpstr>Codes</vt:lpstr>
      <vt:lpstr>Example!Print_Area</vt:lpstr>
      <vt:lpstr>'Expenses  Page 1'!Print_Area</vt:lpstr>
      <vt:lpstr>'Expenses Page 2'!Print_Area</vt:lpstr>
    </vt:vector>
  </TitlesOfParts>
  <Company>SwissTPH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Moergeli</dc:creator>
  <cp:lastModifiedBy>Zenabu Suboi</cp:lastModifiedBy>
  <cp:lastPrinted>2020-05-04T08:49:57Z</cp:lastPrinted>
  <dcterms:created xsi:type="dcterms:W3CDTF">2013-09-18T14:50:11Z</dcterms:created>
  <dcterms:modified xsi:type="dcterms:W3CDTF">2025-11-19T10:06:54Z</dcterms:modified>
</cp:coreProperties>
</file>